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arl/Library/CloudStorage/Dropbox/시흥 실험실/06. Labview log/"/>
    </mc:Choice>
  </mc:AlternateContent>
  <xr:revisionPtr revIDLastSave="0" documentId="13_ncr:1_{D42715CC-CBC5-414F-93A0-F33638471334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  <sheet name="Sheet3" sheetId="2" r:id="rId2"/>
    <sheet name="Sheet2" sheetId="3" r:id="rId3"/>
  </sheets>
  <definedNames>
    <definedName name="_xlnm._FilterDatabase" localSheetId="0" hidden="1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G159" i="1" l="1"/>
  <c r="DF159" i="1"/>
  <c r="DG157" i="1"/>
  <c r="DG158" i="1"/>
  <c r="DF157" i="1"/>
  <c r="DF158" i="1"/>
  <c r="AA158" i="1"/>
  <c r="AA159" i="1"/>
  <c r="AA160" i="1"/>
  <c r="AA161" i="1"/>
  <c r="AA162" i="1"/>
  <c r="AA163" i="1"/>
  <c r="AB163" i="1"/>
  <c r="AB162" i="1"/>
  <c r="AB161" i="1"/>
  <c r="AB160" i="1" l="1"/>
  <c r="AB159" i="1" l="1"/>
  <c r="DG152" i="1" l="1"/>
  <c r="DF152" i="1"/>
  <c r="AB158" i="1"/>
  <c r="AB157" i="1" l="1"/>
  <c r="AA157" i="1"/>
  <c r="DG156" i="1" l="1"/>
  <c r="DF156" i="1"/>
  <c r="AB156" i="1"/>
  <c r="AA156" i="1"/>
  <c r="DG153" i="1" l="1"/>
  <c r="DG154" i="1"/>
  <c r="DF153" i="1"/>
  <c r="DF154" i="1"/>
  <c r="DG155" i="1"/>
  <c r="DF155" i="1"/>
  <c r="AB155" i="1"/>
  <c r="AA155" i="1"/>
  <c r="AB154" i="1"/>
  <c r="AA154" i="1"/>
  <c r="AB153" i="1" l="1"/>
  <c r="AA153" i="1"/>
  <c r="AB152" i="1" l="1"/>
  <c r="AA152" i="1"/>
  <c r="AB151" i="1" l="1"/>
  <c r="AA151" i="1"/>
  <c r="DG150" i="1" l="1"/>
  <c r="DF150" i="1"/>
  <c r="DL150" i="1"/>
  <c r="DM150" i="1" s="1"/>
  <c r="AA150" i="1"/>
  <c r="AB150" i="1"/>
  <c r="DM148" i="1" l="1"/>
  <c r="DM147" i="1"/>
  <c r="DM146" i="1"/>
  <c r="DM145" i="1"/>
  <c r="DM144" i="1"/>
  <c r="DL136" i="1"/>
  <c r="DM136" i="1" s="1"/>
  <c r="DF144" i="1" l="1"/>
  <c r="DG144" i="1"/>
  <c r="DF145" i="1"/>
  <c r="DG145" i="1"/>
  <c r="DF146" i="1"/>
  <c r="DG146" i="1"/>
  <c r="DF147" i="1"/>
  <c r="DG147" i="1"/>
  <c r="DF148" i="1"/>
  <c r="DG148" i="1"/>
  <c r="DF149" i="1"/>
  <c r="DG149" i="1"/>
  <c r="O6" i="3"/>
  <c r="N6" i="3"/>
  <c r="O5" i="3"/>
  <c r="D5" i="3"/>
  <c r="N5" i="3" s="1"/>
  <c r="O4" i="3"/>
  <c r="N4" i="3"/>
  <c r="O3" i="3"/>
  <c r="D3" i="3"/>
  <c r="N3" i="3" s="1"/>
  <c r="O2" i="3"/>
  <c r="N2" i="3"/>
  <c r="O1" i="3"/>
  <c r="N1" i="3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DG143" i="1"/>
  <c r="DF143" i="1"/>
  <c r="AB143" i="1"/>
  <c r="AA143" i="1"/>
  <c r="AB142" i="1"/>
  <c r="AA142" i="1"/>
  <c r="AB141" i="1"/>
  <c r="AA141" i="1"/>
  <c r="AB138" i="1"/>
  <c r="AA138" i="1"/>
  <c r="DG137" i="1"/>
  <c r="DF137" i="1"/>
  <c r="AB137" i="1"/>
  <c r="AA137" i="1"/>
  <c r="DG136" i="1"/>
  <c r="DF136" i="1"/>
  <c r="AB136" i="1"/>
  <c r="AA136" i="1"/>
  <c r="DL135" i="1"/>
  <c r="DM135" i="1" s="1"/>
  <c r="DG135" i="1"/>
  <c r="DF135" i="1"/>
  <c r="AB135" i="1"/>
  <c r="AA135" i="1"/>
  <c r="DL134" i="1"/>
  <c r="DM134" i="1" s="1"/>
  <c r="DG134" i="1"/>
  <c r="DF134" i="1"/>
  <c r="AB134" i="1"/>
  <c r="AA134" i="1"/>
  <c r="DL133" i="1"/>
  <c r="DM133" i="1" s="1"/>
  <c r="DG133" i="1"/>
  <c r="DF133" i="1"/>
  <c r="AB133" i="1"/>
  <c r="AA133" i="1"/>
  <c r="DL132" i="1"/>
  <c r="DM132" i="1" s="1"/>
  <c r="DG132" i="1"/>
  <c r="DF132" i="1"/>
  <c r="AF132" i="1"/>
  <c r="AB132" i="1"/>
  <c r="AA132" i="1"/>
  <c r="DL131" i="1"/>
  <c r="DM131" i="1" s="1"/>
  <c r="DG131" i="1"/>
  <c r="DF131" i="1"/>
  <c r="AF131" i="1"/>
  <c r="AB131" i="1"/>
  <c r="AA131" i="1"/>
  <c r="DL130" i="1"/>
  <c r="DM130" i="1" s="1"/>
  <c r="DG130" i="1"/>
  <c r="DF130" i="1"/>
  <c r="AF130" i="1"/>
  <c r="AB130" i="1"/>
  <c r="AA130" i="1"/>
  <c r="DG129" i="1"/>
  <c r="DF129" i="1"/>
  <c r="DG126" i="1"/>
  <c r="DF126" i="1"/>
  <c r="AF126" i="1"/>
  <c r="DG123" i="1"/>
  <c r="DF123" i="1"/>
  <c r="AF123" i="1"/>
  <c r="DG118" i="1"/>
  <c r="DF118" i="1"/>
  <c r="AF118" i="1"/>
  <c r="DY116" i="1"/>
  <c r="DV116" i="1"/>
  <c r="EA115" i="1"/>
  <c r="EA114" i="1"/>
  <c r="ED112" i="1"/>
  <c r="EE112" i="1" s="1"/>
  <c r="EC112" i="1"/>
  <c r="EB112" i="1"/>
  <c r="DX112" i="1"/>
  <c r="DY112" i="1" s="1"/>
  <c r="DW112" i="1"/>
  <c r="DV112" i="1"/>
  <c r="ED111" i="1"/>
  <c r="EE111" i="1" s="1"/>
  <c r="EC111" i="1"/>
  <c r="EB111" i="1"/>
  <c r="DX111" i="1"/>
  <c r="DY111" i="1" s="1"/>
  <c r="DW111" i="1"/>
  <c r="DV111" i="1"/>
  <c r="ED110" i="1"/>
  <c r="EE110" i="1" s="1"/>
  <c r="EC110" i="1"/>
  <c r="EB110" i="1"/>
  <c r="DX110" i="1"/>
  <c r="DY110" i="1" s="1"/>
  <c r="DW110" i="1"/>
  <c r="DV110" i="1"/>
  <c r="DG110" i="1"/>
  <c r="DF110" i="1"/>
  <c r="ED109" i="1"/>
  <c r="EE109" i="1" s="1"/>
  <c r="EC109" i="1"/>
  <c r="EB109" i="1"/>
  <c r="DX109" i="1"/>
  <c r="DY109" i="1" s="1"/>
  <c r="DW109" i="1"/>
  <c r="DV109" i="1"/>
  <c r="DG109" i="1"/>
  <c r="DF109" i="1"/>
  <c r="ED107" i="1"/>
  <c r="EE107" i="1" s="1"/>
  <c r="EC107" i="1"/>
  <c r="EB107" i="1"/>
  <c r="DX107" i="1"/>
  <c r="DY107" i="1" s="1"/>
  <c r="DW107" i="1"/>
  <c r="DV107" i="1"/>
  <c r="DG107" i="1"/>
  <c r="DF107" i="1"/>
  <c r="EC106" i="1"/>
  <c r="EB106" i="1"/>
  <c r="DW106" i="1"/>
  <c r="DV106" i="1"/>
  <c r="DA106" i="1"/>
  <c r="DB106" i="1" s="1"/>
  <c r="ED105" i="1"/>
  <c r="EE105" i="1" s="1"/>
  <c r="EC105" i="1"/>
  <c r="EB105" i="1"/>
  <c r="DX105" i="1"/>
  <c r="DY105" i="1" s="1"/>
  <c r="DW105" i="1"/>
  <c r="DV105" i="1"/>
  <c r="ED104" i="1"/>
  <c r="EE104" i="1" s="1"/>
  <c r="EC104" i="1"/>
  <c r="EB104" i="1"/>
  <c r="DX104" i="1"/>
  <c r="DY104" i="1" s="1"/>
  <c r="DW104" i="1"/>
  <c r="DV104" i="1"/>
  <c r="ED103" i="1"/>
  <c r="EE103" i="1" s="1"/>
  <c r="EC103" i="1"/>
  <c r="EB103" i="1"/>
  <c r="DX103" i="1"/>
  <c r="DY103" i="1" s="1"/>
  <c r="DW103" i="1"/>
  <c r="DV103" i="1"/>
  <c r="ED102" i="1"/>
  <c r="EE102" i="1" s="1"/>
  <c r="EC102" i="1"/>
  <c r="EB102" i="1"/>
  <c r="DX102" i="1"/>
  <c r="DY102" i="1" s="1"/>
  <c r="DW102" i="1"/>
  <c r="DV102" i="1"/>
  <c r="ED101" i="1"/>
  <c r="EE101" i="1" s="1"/>
  <c r="EC101" i="1"/>
  <c r="EB101" i="1"/>
  <c r="DX101" i="1"/>
  <c r="DY101" i="1" s="1"/>
  <c r="DW101" i="1"/>
  <c r="DV101" i="1"/>
  <c r="ED100" i="1"/>
  <c r="EE100" i="1" s="1"/>
  <c r="EC100" i="1"/>
  <c r="EB100" i="1"/>
  <c r="DX100" i="1"/>
  <c r="DY100" i="1" s="1"/>
  <c r="DW100" i="1"/>
  <c r="DV100" i="1"/>
  <c r="ED99" i="1"/>
  <c r="EE99" i="1" s="1"/>
  <c r="EC99" i="1"/>
  <c r="EB99" i="1"/>
  <c r="DX99" i="1"/>
  <c r="DY99" i="1" s="1"/>
  <c r="DW99" i="1"/>
  <c r="DV99" i="1"/>
  <c r="DL99" i="1"/>
  <c r="DM99" i="1" s="1"/>
  <c r="DG99" i="1"/>
  <c r="DF99" i="1"/>
  <c r="ED98" i="1"/>
  <c r="EE98" i="1" s="1"/>
  <c r="EC98" i="1"/>
  <c r="EB98" i="1"/>
  <c r="DX98" i="1"/>
  <c r="DY98" i="1" s="1"/>
  <c r="DW98" i="1"/>
  <c r="DV98" i="1"/>
  <c r="DL98" i="1"/>
  <c r="DM98" i="1" s="1"/>
  <c r="DG98" i="1"/>
  <c r="DF98" i="1"/>
  <c r="ED97" i="1"/>
  <c r="EE97" i="1" s="1"/>
  <c r="EC97" i="1"/>
  <c r="EB97" i="1"/>
  <c r="DX97" i="1"/>
  <c r="DY97" i="1" s="1"/>
  <c r="DW97" i="1"/>
  <c r="DV97" i="1"/>
  <c r="DL97" i="1"/>
  <c r="DM97" i="1" s="1"/>
  <c r="DG97" i="1"/>
  <c r="DF97" i="1"/>
  <c r="ED96" i="1"/>
  <c r="EE96" i="1" s="1"/>
  <c r="EC96" i="1"/>
  <c r="EB96" i="1"/>
  <c r="DX96" i="1"/>
  <c r="DY96" i="1" s="1"/>
  <c r="DW96" i="1"/>
  <c r="DV96" i="1"/>
  <c r="DL96" i="1"/>
  <c r="DM96" i="1" s="1"/>
  <c r="DG96" i="1"/>
  <c r="DF96" i="1"/>
  <c r="ED95" i="1"/>
  <c r="EE95" i="1" s="1"/>
  <c r="EC95" i="1"/>
  <c r="EB95" i="1"/>
  <c r="DX95" i="1"/>
  <c r="DY95" i="1" s="1"/>
  <c r="DW95" i="1"/>
  <c r="DV95" i="1"/>
  <c r="DL95" i="1"/>
  <c r="DM95" i="1" s="1"/>
  <c r="DG95" i="1"/>
  <c r="DF95" i="1"/>
  <c r="ED94" i="1"/>
  <c r="EE94" i="1" s="1"/>
  <c r="EC94" i="1"/>
  <c r="EB94" i="1"/>
  <c r="DX94" i="1"/>
  <c r="DY94" i="1" s="1"/>
  <c r="DW94" i="1"/>
  <c r="DV94" i="1"/>
  <c r="DL94" i="1"/>
  <c r="DM94" i="1" s="1"/>
  <c r="DG94" i="1"/>
  <c r="DF94" i="1"/>
  <c r="ED93" i="1"/>
  <c r="EE93" i="1" s="1"/>
  <c r="EC93" i="1"/>
  <c r="EB93" i="1"/>
  <c r="DX93" i="1"/>
  <c r="DY93" i="1" s="1"/>
  <c r="DW93" i="1"/>
  <c r="DV93" i="1"/>
  <c r="DL93" i="1"/>
  <c r="DM93" i="1" s="1"/>
  <c r="DG93" i="1"/>
  <c r="DF93" i="1"/>
  <c r="ED92" i="1"/>
  <c r="EE92" i="1" s="1"/>
  <c r="EC92" i="1"/>
  <c r="EB92" i="1"/>
  <c r="DX92" i="1"/>
  <c r="DY92" i="1" s="1"/>
  <c r="DW92" i="1"/>
  <c r="DV92" i="1"/>
  <c r="DL92" i="1"/>
  <c r="DM92" i="1" s="1"/>
  <c r="DG92" i="1"/>
  <c r="DF92" i="1"/>
  <c r="ED91" i="1"/>
  <c r="EE91" i="1" s="1"/>
  <c r="EC91" i="1"/>
  <c r="EB91" i="1"/>
  <c r="DX91" i="1"/>
  <c r="DY91" i="1" s="1"/>
  <c r="DW91" i="1"/>
  <c r="DV91" i="1"/>
  <c r="DL91" i="1"/>
  <c r="DM91" i="1" s="1"/>
  <c r="DG91" i="1"/>
  <c r="DF91" i="1"/>
  <c r="ED90" i="1"/>
  <c r="EE90" i="1" s="1"/>
  <c r="EC90" i="1"/>
  <c r="EB90" i="1"/>
  <c r="DX90" i="1"/>
  <c r="DY90" i="1" s="1"/>
  <c r="DW90" i="1"/>
  <c r="DV90" i="1"/>
  <c r="DL90" i="1"/>
  <c r="DM90" i="1" s="1"/>
  <c r="DG90" i="1"/>
  <c r="DF90" i="1"/>
  <c r="ED89" i="1"/>
  <c r="EE89" i="1" s="1"/>
  <c r="EC89" i="1"/>
  <c r="EB89" i="1"/>
  <c r="DX89" i="1"/>
  <c r="DY89" i="1" s="1"/>
  <c r="DW89" i="1"/>
  <c r="DV89" i="1"/>
  <c r="DL89" i="1"/>
  <c r="DM89" i="1" s="1"/>
  <c r="DG89" i="1"/>
  <c r="DF89" i="1"/>
  <c r="ED88" i="1"/>
  <c r="EE88" i="1" s="1"/>
  <c r="EC88" i="1"/>
  <c r="EB88" i="1"/>
  <c r="DX88" i="1"/>
  <c r="DY88" i="1" s="1"/>
  <c r="DW88" i="1"/>
  <c r="DV88" i="1"/>
  <c r="DL88" i="1"/>
  <c r="DM88" i="1" s="1"/>
  <c r="DG88" i="1"/>
  <c r="DF88" i="1"/>
  <c r="ED87" i="1"/>
  <c r="EE87" i="1" s="1"/>
  <c r="EC87" i="1"/>
  <c r="EB87" i="1"/>
  <c r="DX87" i="1"/>
  <c r="DY87" i="1" s="1"/>
  <c r="DW87" i="1"/>
  <c r="DV87" i="1"/>
  <c r="DL87" i="1"/>
  <c r="DM87" i="1" s="1"/>
  <c r="DG87" i="1"/>
  <c r="DF87" i="1"/>
  <c r="ED86" i="1"/>
  <c r="EE86" i="1" s="1"/>
  <c r="EC86" i="1"/>
  <c r="EB86" i="1"/>
  <c r="DX86" i="1"/>
  <c r="DY86" i="1" s="1"/>
  <c r="DW86" i="1"/>
  <c r="DV86" i="1"/>
  <c r="DL86" i="1"/>
  <c r="DM86" i="1" s="1"/>
  <c r="DG86" i="1"/>
  <c r="DF86" i="1"/>
  <c r="ED85" i="1"/>
  <c r="EE85" i="1" s="1"/>
  <c r="EC85" i="1"/>
  <c r="EB85" i="1"/>
  <c r="DX85" i="1"/>
  <c r="DY85" i="1" s="1"/>
  <c r="DW85" i="1"/>
  <c r="DV85" i="1"/>
  <c r="DL85" i="1"/>
  <c r="DM85" i="1" s="1"/>
  <c r="DG85" i="1"/>
  <c r="DF85" i="1"/>
  <c r="ED84" i="1"/>
  <c r="EE84" i="1" s="1"/>
  <c r="EC84" i="1"/>
  <c r="EB84" i="1"/>
  <c r="DX84" i="1"/>
  <c r="DY84" i="1" s="1"/>
  <c r="DW84" i="1"/>
  <c r="DV84" i="1"/>
  <c r="DL84" i="1"/>
  <c r="DM84" i="1" s="1"/>
  <c r="DG84" i="1"/>
  <c r="DF84" i="1"/>
  <c r="ED83" i="1"/>
  <c r="EE83" i="1" s="1"/>
  <c r="EC83" i="1"/>
  <c r="EB83" i="1"/>
  <c r="DX83" i="1"/>
  <c r="DY83" i="1" s="1"/>
  <c r="DW83" i="1"/>
  <c r="DV83" i="1"/>
  <c r="DL83" i="1"/>
  <c r="DM83" i="1" s="1"/>
  <c r="DG83" i="1"/>
  <c r="DF83" i="1"/>
  <c r="ED82" i="1"/>
  <c r="EE82" i="1" s="1"/>
  <c r="EC82" i="1"/>
  <c r="EB82" i="1"/>
  <c r="DX82" i="1"/>
  <c r="DY82" i="1" s="1"/>
  <c r="DW82" i="1"/>
  <c r="DV82" i="1"/>
  <c r="DL82" i="1"/>
  <c r="DM82" i="1" s="1"/>
  <c r="DG82" i="1"/>
  <c r="DF82" i="1"/>
  <c r="ED81" i="1"/>
  <c r="EE81" i="1" s="1"/>
  <c r="EC81" i="1"/>
  <c r="EB81" i="1"/>
  <c r="DX81" i="1"/>
  <c r="DY81" i="1" s="1"/>
  <c r="DW81" i="1"/>
  <c r="DV81" i="1"/>
  <c r="DL81" i="1"/>
  <c r="DM81" i="1" s="1"/>
  <c r="DG81" i="1"/>
  <c r="DF81" i="1"/>
  <c r="ED80" i="1"/>
  <c r="EE80" i="1" s="1"/>
  <c r="EC80" i="1"/>
  <c r="EB80" i="1"/>
  <c r="DX80" i="1"/>
  <c r="DY80" i="1" s="1"/>
  <c r="DW80" i="1"/>
  <c r="DV80" i="1"/>
  <c r="DL80" i="1"/>
  <c r="DM80" i="1" s="1"/>
  <c r="DG80" i="1"/>
  <c r="DF80" i="1"/>
  <c r="ED79" i="1"/>
  <c r="EE79" i="1" s="1"/>
  <c r="EC79" i="1"/>
  <c r="EB79" i="1"/>
  <c r="DX79" i="1"/>
  <c r="DY79" i="1" s="1"/>
  <c r="DW79" i="1"/>
  <c r="DV79" i="1"/>
  <c r="DL79" i="1"/>
  <c r="DM79" i="1" s="1"/>
  <c r="ED78" i="1"/>
  <c r="EE78" i="1" s="1"/>
  <c r="EC78" i="1"/>
  <c r="EB78" i="1"/>
  <c r="DX78" i="1"/>
  <c r="DY78" i="1" s="1"/>
  <c r="DW78" i="1"/>
  <c r="DV78" i="1"/>
  <c r="DL78" i="1"/>
  <c r="DM78" i="1" s="1"/>
  <c r="DG78" i="1"/>
  <c r="DF78" i="1"/>
  <c r="ED77" i="1"/>
  <c r="EE77" i="1" s="1"/>
  <c r="EC77" i="1"/>
  <c r="EB77" i="1"/>
  <c r="DX77" i="1"/>
  <c r="DY77" i="1" s="1"/>
  <c r="DW77" i="1"/>
  <c r="DV77" i="1"/>
  <c r="DL77" i="1"/>
  <c r="DM77" i="1" s="1"/>
  <c r="DG77" i="1"/>
  <c r="DF77" i="1"/>
  <c r="ED76" i="1"/>
  <c r="EE76" i="1" s="1"/>
  <c r="EC76" i="1"/>
  <c r="EB76" i="1"/>
  <c r="DX76" i="1"/>
  <c r="DY76" i="1" s="1"/>
  <c r="DW76" i="1"/>
  <c r="DV76" i="1"/>
  <c r="DL76" i="1"/>
  <c r="DM76" i="1" s="1"/>
  <c r="DG76" i="1"/>
  <c r="DF76" i="1"/>
  <c r="ED75" i="1"/>
  <c r="EE75" i="1" s="1"/>
  <c r="EC75" i="1"/>
  <c r="EB75" i="1"/>
  <c r="DX75" i="1"/>
  <c r="DY75" i="1" s="1"/>
  <c r="DW75" i="1"/>
  <c r="DV75" i="1"/>
  <c r="DG75" i="1"/>
  <c r="DF75" i="1"/>
  <c r="ED74" i="1"/>
  <c r="EE74" i="1" s="1"/>
  <c r="EC74" i="1"/>
  <c r="EB74" i="1"/>
  <c r="DX74" i="1"/>
  <c r="DY74" i="1" s="1"/>
  <c r="DW74" i="1"/>
  <c r="DV74" i="1"/>
  <c r="DL74" i="1"/>
  <c r="DM74" i="1" s="1"/>
  <c r="DG74" i="1"/>
  <c r="DF74" i="1"/>
  <c r="ED73" i="1"/>
  <c r="EE73" i="1" s="1"/>
  <c r="EC73" i="1"/>
  <c r="EB73" i="1"/>
  <c r="DX73" i="1"/>
  <c r="DY73" i="1" s="1"/>
  <c r="DW73" i="1"/>
  <c r="DV73" i="1"/>
  <c r="DG73" i="1"/>
  <c r="DF73" i="1"/>
  <c r="ED72" i="1"/>
  <c r="EE72" i="1" s="1"/>
  <c r="EC72" i="1"/>
  <c r="EB72" i="1"/>
  <c r="DX72" i="1"/>
  <c r="DY72" i="1" s="1"/>
  <c r="DW72" i="1"/>
  <c r="DV72" i="1"/>
  <c r="DG72" i="1"/>
  <c r="DF72" i="1"/>
  <c r="ED71" i="1"/>
  <c r="EE71" i="1" s="1"/>
  <c r="EC71" i="1"/>
  <c r="EB71" i="1"/>
  <c r="DX71" i="1"/>
  <c r="DY71" i="1" s="1"/>
  <c r="DW71" i="1"/>
  <c r="DV71" i="1"/>
  <c r="DL71" i="1"/>
  <c r="DM71" i="1" s="1"/>
  <c r="DG71" i="1"/>
  <c r="DF71" i="1"/>
  <c r="ED70" i="1"/>
  <c r="EE70" i="1" s="1"/>
  <c r="EC70" i="1"/>
  <c r="EB70" i="1"/>
  <c r="DX70" i="1"/>
  <c r="DY70" i="1" s="1"/>
  <c r="DW70" i="1"/>
  <c r="DV70" i="1"/>
  <c r="DL70" i="1"/>
  <c r="DM70" i="1" s="1"/>
  <c r="DG70" i="1"/>
  <c r="DF70" i="1"/>
  <c r="ED69" i="1"/>
  <c r="EE69" i="1" s="1"/>
  <c r="EC69" i="1"/>
  <c r="EB69" i="1"/>
  <c r="DX69" i="1"/>
  <c r="DY69" i="1" s="1"/>
  <c r="DW69" i="1"/>
  <c r="DV69" i="1"/>
  <c r="DG69" i="1"/>
  <c r="DF69" i="1"/>
  <c r="ED68" i="1"/>
  <c r="EE68" i="1" s="1"/>
  <c r="EC68" i="1"/>
  <c r="EB68" i="1"/>
  <c r="DX68" i="1"/>
  <c r="DY68" i="1" s="1"/>
  <c r="DW68" i="1"/>
  <c r="DV68" i="1"/>
  <c r="DG68" i="1"/>
  <c r="DF68" i="1"/>
  <c r="ED67" i="1"/>
  <c r="EE67" i="1" s="1"/>
  <c r="EC67" i="1"/>
  <c r="EB67" i="1"/>
  <c r="DX67" i="1"/>
  <c r="DY67" i="1" s="1"/>
  <c r="DW67" i="1"/>
  <c r="DV67" i="1"/>
  <c r="DG67" i="1"/>
  <c r="DF67" i="1"/>
  <c r="ED66" i="1"/>
  <c r="EE66" i="1" s="1"/>
  <c r="EC66" i="1"/>
  <c r="EB66" i="1"/>
  <c r="DX66" i="1"/>
  <c r="DY66" i="1" s="1"/>
  <c r="DW66" i="1"/>
  <c r="DV66" i="1"/>
  <c r="DG66" i="1"/>
  <c r="DF66" i="1"/>
  <c r="ED65" i="1"/>
  <c r="EE65" i="1" s="1"/>
  <c r="EC65" i="1"/>
  <c r="EB65" i="1"/>
  <c r="DX65" i="1"/>
  <c r="DY65" i="1" s="1"/>
  <c r="DW65" i="1"/>
  <c r="DV65" i="1"/>
  <c r="DL65" i="1"/>
  <c r="DM65" i="1" s="1"/>
  <c r="DG65" i="1"/>
  <c r="DF65" i="1"/>
  <c r="ED64" i="1"/>
  <c r="EE64" i="1" s="1"/>
  <c r="EC64" i="1"/>
  <c r="EB64" i="1"/>
  <c r="DX64" i="1"/>
  <c r="DY64" i="1" s="1"/>
  <c r="DW64" i="1"/>
  <c r="DV64" i="1"/>
  <c r="DL64" i="1"/>
  <c r="DM64" i="1" s="1"/>
  <c r="DG64" i="1"/>
  <c r="DF64" i="1"/>
  <c r="ED63" i="1"/>
  <c r="EE63" i="1" s="1"/>
  <c r="EC63" i="1"/>
  <c r="EB63" i="1"/>
  <c r="DX63" i="1"/>
  <c r="DY63" i="1" s="1"/>
  <c r="DW63" i="1"/>
  <c r="DV63" i="1"/>
  <c r="DL63" i="1"/>
  <c r="DM63" i="1" s="1"/>
  <c r="DG63" i="1"/>
  <c r="DF63" i="1"/>
  <c r="ED62" i="1"/>
  <c r="EE62" i="1" s="1"/>
  <c r="EC62" i="1"/>
  <c r="EB62" i="1"/>
  <c r="DX62" i="1"/>
  <c r="DY62" i="1" s="1"/>
  <c r="DW62" i="1"/>
  <c r="DV62" i="1"/>
  <c r="DL62" i="1"/>
  <c r="DM62" i="1" s="1"/>
  <c r="DG62" i="1"/>
  <c r="DF62" i="1"/>
  <c r="ED61" i="1"/>
  <c r="EE61" i="1" s="1"/>
  <c r="EC61" i="1"/>
  <c r="EB61" i="1"/>
  <c r="DX61" i="1"/>
  <c r="DY61" i="1" s="1"/>
  <c r="DW61" i="1"/>
  <c r="DV61" i="1"/>
  <c r="DG61" i="1"/>
  <c r="DF61" i="1"/>
  <c r="ED60" i="1"/>
  <c r="EE60" i="1" s="1"/>
  <c r="EC60" i="1"/>
  <c r="EB60" i="1"/>
  <c r="DX60" i="1"/>
  <c r="DY60" i="1" s="1"/>
  <c r="DW60" i="1"/>
  <c r="DV60" i="1"/>
  <c r="DL60" i="1"/>
  <c r="DM60" i="1" s="1"/>
  <c r="DG60" i="1"/>
  <c r="DF60" i="1"/>
  <c r="ED59" i="1"/>
  <c r="EE59" i="1" s="1"/>
  <c r="EC59" i="1"/>
  <c r="EB59" i="1"/>
  <c r="DX59" i="1"/>
  <c r="DY59" i="1" s="1"/>
  <c r="DW59" i="1"/>
  <c r="DV59" i="1"/>
  <c r="DL59" i="1"/>
  <c r="DM59" i="1" s="1"/>
  <c r="DG59" i="1"/>
  <c r="DF59" i="1"/>
  <c r="ED58" i="1"/>
  <c r="EE58" i="1" s="1"/>
  <c r="EC58" i="1"/>
  <c r="EB58" i="1"/>
  <c r="DX58" i="1"/>
  <c r="DY58" i="1" s="1"/>
  <c r="DW58" i="1"/>
  <c r="DV58" i="1"/>
  <c r="DL58" i="1"/>
  <c r="DM58" i="1" s="1"/>
  <c r="DG58" i="1"/>
  <c r="DF58" i="1"/>
  <c r="ED57" i="1"/>
  <c r="EE57" i="1" s="1"/>
  <c r="EC57" i="1"/>
  <c r="EB57" i="1"/>
  <c r="DX57" i="1"/>
  <c r="DY57" i="1" s="1"/>
  <c r="DW57" i="1"/>
  <c r="DV57" i="1"/>
  <c r="DG57" i="1"/>
  <c r="DF57" i="1"/>
  <c r="ED56" i="1"/>
  <c r="EE56" i="1" s="1"/>
  <c r="EC56" i="1"/>
  <c r="EB56" i="1"/>
  <c r="DX56" i="1"/>
  <c r="DY56" i="1" s="1"/>
  <c r="DW56" i="1"/>
  <c r="DV56" i="1"/>
  <c r="DL56" i="1"/>
  <c r="DM56" i="1" s="1"/>
  <c r="DG56" i="1"/>
  <c r="DF56" i="1"/>
  <c r="AB56" i="1"/>
  <c r="ED55" i="1"/>
  <c r="EE55" i="1" s="1"/>
  <c r="EC55" i="1"/>
  <c r="EB55" i="1"/>
  <c r="DX55" i="1"/>
  <c r="DY55" i="1" s="1"/>
  <c r="DW55" i="1"/>
  <c r="DV55" i="1"/>
  <c r="DL55" i="1"/>
  <c r="DM55" i="1" s="1"/>
  <c r="DG55" i="1"/>
  <c r="DF55" i="1"/>
  <c r="AB55" i="1"/>
  <c r="ED54" i="1"/>
  <c r="EE54" i="1" s="1"/>
  <c r="EC54" i="1"/>
  <c r="EB54" i="1"/>
  <c r="DX54" i="1"/>
  <c r="DY54" i="1" s="1"/>
  <c r="DW54" i="1"/>
  <c r="DV54" i="1"/>
  <c r="DL54" i="1"/>
  <c r="DM54" i="1" s="1"/>
  <c r="DG54" i="1"/>
  <c r="DF54" i="1"/>
  <c r="AB54" i="1"/>
  <c r="ED53" i="1"/>
  <c r="EE53" i="1" s="1"/>
  <c r="EC53" i="1"/>
  <c r="EB53" i="1"/>
  <c r="DX53" i="1"/>
  <c r="DY53" i="1" s="1"/>
  <c r="DW53" i="1"/>
  <c r="DV53" i="1"/>
  <c r="DL53" i="1"/>
  <c r="DM53" i="1" s="1"/>
  <c r="DG53" i="1"/>
  <c r="DF53" i="1"/>
  <c r="AB53" i="1"/>
  <c r="ED52" i="1"/>
  <c r="EE52" i="1" s="1"/>
  <c r="EC52" i="1"/>
  <c r="EB52" i="1"/>
  <c r="DX52" i="1"/>
  <c r="DY52" i="1" s="1"/>
  <c r="DW52" i="1"/>
  <c r="DV52" i="1"/>
  <c r="DL52" i="1"/>
  <c r="DM52" i="1" s="1"/>
  <c r="DG52" i="1"/>
  <c r="DF52" i="1"/>
  <c r="AB52" i="1"/>
  <c r="ED51" i="1"/>
  <c r="EE51" i="1" s="1"/>
  <c r="EC51" i="1"/>
  <c r="EB51" i="1"/>
  <c r="DX51" i="1"/>
  <c r="DY51" i="1" s="1"/>
  <c r="DW51" i="1"/>
  <c r="DV51" i="1"/>
  <c r="DL51" i="1"/>
  <c r="DM51" i="1" s="1"/>
  <c r="DG51" i="1"/>
  <c r="DF51" i="1"/>
  <c r="AB51" i="1"/>
  <c r="ED50" i="1"/>
  <c r="EE50" i="1" s="1"/>
  <c r="EC50" i="1"/>
  <c r="EB50" i="1"/>
  <c r="DX50" i="1"/>
  <c r="DY50" i="1" s="1"/>
  <c r="DW50" i="1"/>
  <c r="DV50" i="1"/>
  <c r="DL50" i="1"/>
  <c r="DM50" i="1" s="1"/>
  <c r="DG50" i="1"/>
  <c r="DF50" i="1"/>
  <c r="AB50" i="1"/>
  <c r="ED49" i="1"/>
  <c r="EE49" i="1" s="1"/>
  <c r="EC49" i="1"/>
  <c r="EB49" i="1"/>
  <c r="DX49" i="1"/>
  <c r="DY49" i="1" s="1"/>
  <c r="DW49" i="1"/>
  <c r="DV49" i="1"/>
  <c r="DL49" i="1"/>
  <c r="DM49" i="1" s="1"/>
  <c r="DG49" i="1"/>
  <c r="DF49" i="1"/>
  <c r="AB49" i="1"/>
  <c r="ED48" i="1"/>
  <c r="EE48" i="1" s="1"/>
  <c r="EC48" i="1"/>
  <c r="EB48" i="1"/>
  <c r="DX48" i="1"/>
  <c r="DY48" i="1" s="1"/>
  <c r="DW48" i="1"/>
  <c r="DV48" i="1"/>
  <c r="DL48" i="1"/>
  <c r="DM48" i="1" s="1"/>
  <c r="DG48" i="1"/>
  <c r="DF48" i="1"/>
  <c r="AB48" i="1"/>
  <c r="ED47" i="1"/>
  <c r="EE47" i="1" s="1"/>
  <c r="EC47" i="1"/>
  <c r="EB47" i="1"/>
  <c r="DX47" i="1"/>
  <c r="DY47" i="1" s="1"/>
  <c r="DW47" i="1"/>
  <c r="DV47" i="1"/>
  <c r="DL47" i="1"/>
  <c r="DM47" i="1" s="1"/>
  <c r="DG47" i="1"/>
  <c r="DF47" i="1"/>
  <c r="AB47" i="1"/>
  <c r="ED46" i="1"/>
  <c r="EE46" i="1" s="1"/>
  <c r="EC46" i="1"/>
  <c r="EB46" i="1"/>
  <c r="DX46" i="1"/>
  <c r="DY46" i="1" s="1"/>
  <c r="DW46" i="1"/>
  <c r="DV46" i="1"/>
  <c r="DL46" i="1"/>
  <c r="DM46" i="1" s="1"/>
  <c r="DG46" i="1"/>
  <c r="DF46" i="1"/>
  <c r="AB46" i="1"/>
  <c r="ED45" i="1"/>
  <c r="EE45" i="1" s="1"/>
  <c r="EC45" i="1"/>
  <c r="EB45" i="1"/>
  <c r="DX45" i="1"/>
  <c r="DY45" i="1" s="1"/>
  <c r="DW45" i="1"/>
  <c r="DV45" i="1"/>
  <c r="DL45" i="1"/>
  <c r="DM45" i="1" s="1"/>
  <c r="DG45" i="1"/>
  <c r="DF45" i="1"/>
  <c r="AB45" i="1"/>
  <c r="ED44" i="1"/>
  <c r="EE44" i="1" s="1"/>
  <c r="EC44" i="1"/>
  <c r="EB44" i="1"/>
  <c r="DX44" i="1"/>
  <c r="DY44" i="1" s="1"/>
  <c r="DW44" i="1"/>
  <c r="DV44" i="1"/>
  <c r="DL44" i="1"/>
  <c r="DM44" i="1" s="1"/>
  <c r="DG44" i="1"/>
  <c r="DF44" i="1"/>
  <c r="AB44" i="1"/>
  <c r="ED43" i="1"/>
  <c r="EE43" i="1" s="1"/>
  <c r="EC43" i="1"/>
  <c r="EB43" i="1"/>
  <c r="DX43" i="1"/>
  <c r="DY43" i="1" s="1"/>
  <c r="DW43" i="1"/>
  <c r="DV43" i="1"/>
  <c r="DL43" i="1"/>
  <c r="DM43" i="1" s="1"/>
  <c r="DG43" i="1"/>
  <c r="DF43" i="1"/>
  <c r="ED42" i="1"/>
  <c r="EE42" i="1" s="1"/>
  <c r="EC42" i="1"/>
  <c r="EB42" i="1"/>
  <c r="DX42" i="1"/>
  <c r="DY42" i="1" s="1"/>
  <c r="DW42" i="1"/>
  <c r="DV42" i="1"/>
  <c r="DL42" i="1"/>
  <c r="DM42" i="1" s="1"/>
  <c r="DG42" i="1"/>
  <c r="DF42" i="1"/>
  <c r="ED41" i="1"/>
  <c r="EE41" i="1" s="1"/>
  <c r="EC41" i="1"/>
  <c r="EB41" i="1"/>
  <c r="DX41" i="1"/>
  <c r="DY41" i="1" s="1"/>
  <c r="DW41" i="1"/>
  <c r="DV41" i="1"/>
  <c r="DL41" i="1"/>
  <c r="DM41" i="1" s="1"/>
  <c r="AB41" i="1"/>
  <c r="ED40" i="1"/>
  <c r="EE40" i="1" s="1"/>
  <c r="EC40" i="1"/>
  <c r="EB40" i="1"/>
  <c r="DX40" i="1"/>
  <c r="DY40" i="1" s="1"/>
  <c r="DW40" i="1"/>
  <c r="DV40" i="1"/>
  <c r="DL40" i="1"/>
  <c r="DM40" i="1" s="1"/>
  <c r="BW40" i="1"/>
  <c r="BV40" i="1"/>
  <c r="AC40" i="1" a="1"/>
  <c r="AC40" i="1" s="1"/>
  <c r="AA40" i="1" a="1"/>
  <c r="AA40" i="1" s="1"/>
  <c r="ED39" i="1"/>
  <c r="EE39" i="1" s="1"/>
  <c r="EC39" i="1"/>
  <c r="EB39" i="1"/>
  <c r="DX39" i="1"/>
  <c r="DY39" i="1" s="1"/>
  <c r="DW39" i="1"/>
  <c r="DV39" i="1"/>
  <c r="DL39" i="1"/>
  <c r="DM39" i="1" s="1"/>
  <c r="DG39" i="1"/>
  <c r="DF39" i="1"/>
  <c r="AB39" i="1"/>
  <c r="DL38" i="1"/>
  <c r="DM38" i="1" s="1"/>
  <c r="DG38" i="1"/>
  <c r="DF38" i="1"/>
  <c r="AB38" i="1"/>
  <c r="DL37" i="1"/>
  <c r="DM37" i="1" s="1"/>
  <c r="DG37" i="1"/>
  <c r="DF37" i="1"/>
  <c r="AB37" i="1"/>
  <c r="DL36" i="1"/>
  <c r="DM36" i="1" s="1"/>
  <c r="AB36" i="1"/>
  <c r="DL35" i="1"/>
  <c r="DM35" i="1" s="1"/>
  <c r="AB35" i="1"/>
  <c r="DL34" i="1"/>
  <c r="DM34" i="1" s="1"/>
  <c r="AB34" i="1"/>
  <c r="DL33" i="1"/>
  <c r="DM33" i="1" s="1"/>
  <c r="AB33" i="1"/>
  <c r="DL32" i="1"/>
  <c r="DM32" i="1" s="1"/>
  <c r="AB32" i="1"/>
  <c r="DL31" i="1"/>
  <c r="DM31" i="1" s="1"/>
  <c r="AB31" i="1"/>
  <c r="DL30" i="1"/>
  <c r="DM30" i="1" s="1"/>
  <c r="AB30" i="1"/>
  <c r="DR29" i="1"/>
  <c r="DL29" i="1"/>
  <c r="DM29" i="1" s="1"/>
  <c r="AB29" i="1"/>
  <c r="DR28" i="1"/>
  <c r="DL28" i="1"/>
  <c r="DM28" i="1" s="1"/>
  <c r="AB28" i="1"/>
  <c r="DR27" i="1"/>
  <c r="DL27" i="1"/>
  <c r="DM27" i="1" s="1"/>
  <c r="AB27" i="1"/>
  <c r="DR26" i="1"/>
  <c r="DL26" i="1"/>
  <c r="DM26" i="1" s="1"/>
  <c r="AB26" i="1"/>
  <c r="DR25" i="1"/>
  <c r="DL25" i="1"/>
  <c r="DM25" i="1" s="1"/>
  <c r="AB25" i="1"/>
  <c r="DL24" i="1"/>
  <c r="DM24" i="1" s="1"/>
  <c r="DG24" i="1"/>
  <c r="DF24" i="1"/>
  <c r="DR24" i="1" s="1"/>
  <c r="AB24" i="1"/>
  <c r="DL23" i="1"/>
  <c r="DM23" i="1" s="1"/>
  <c r="DH23" i="1"/>
  <c r="DG23" i="1"/>
  <c r="DF23" i="1"/>
  <c r="AB23" i="1"/>
  <c r="DH22" i="1"/>
  <c r="DG22" i="1"/>
  <c r="DF22" i="1"/>
  <c r="AB22" i="1"/>
  <c r="DH21" i="1"/>
  <c r="DG21" i="1"/>
  <c r="DF21" i="1"/>
  <c r="AB21" i="1"/>
  <c r="DH20" i="1"/>
  <c r="DG20" i="1"/>
  <c r="DF20" i="1"/>
  <c r="AB20" i="1"/>
  <c r="DH19" i="1"/>
  <c r="DG19" i="1"/>
  <c r="DF19" i="1"/>
  <c r="AB19" i="1"/>
  <c r="DH18" i="1"/>
  <c r="DG18" i="1"/>
  <c r="DF18" i="1"/>
  <c r="AB18" i="1"/>
  <c r="AB40" i="1" s="1" a="1"/>
  <c r="AB40" i="1" s="1"/>
  <c r="ED17" i="1"/>
  <c r="EE17" i="1" s="1"/>
  <c r="EC17" i="1"/>
  <c r="EB17" i="1"/>
  <c r="DX17" i="1"/>
  <c r="DY17" i="1" s="1"/>
  <c r="DW17" i="1"/>
  <c r="DV17" i="1"/>
  <c r="DG17" i="1"/>
  <c r="DF17" i="1"/>
  <c r="AB17" i="1"/>
  <c r="ED16" i="1"/>
  <c r="EE16" i="1" s="1"/>
  <c r="EC16" i="1"/>
  <c r="EB16" i="1"/>
  <c r="DX16" i="1"/>
  <c r="DY16" i="1" s="1"/>
  <c r="DW16" i="1"/>
  <c r="DV16" i="1"/>
  <c r="DL16" i="1"/>
  <c r="DM16" i="1" s="1"/>
  <c r="DG16" i="1"/>
  <c r="DF16" i="1"/>
  <c r="AB16" i="1"/>
  <c r="ED15" i="1"/>
  <c r="EE15" i="1" s="1"/>
  <c r="EC15" i="1"/>
  <c r="EB15" i="1"/>
  <c r="DX15" i="1"/>
  <c r="DY15" i="1" s="1"/>
  <c r="DW15" i="1"/>
  <c r="DV15" i="1"/>
  <c r="DL15" i="1"/>
  <c r="DM15" i="1" s="1"/>
  <c r="DG15" i="1"/>
  <c r="DF15" i="1"/>
  <c r="AB15" i="1"/>
  <c r="ED14" i="1"/>
  <c r="EE14" i="1" s="1"/>
  <c r="EC14" i="1"/>
  <c r="EB14" i="1"/>
  <c r="DX14" i="1"/>
  <c r="DY14" i="1" s="1"/>
  <c r="DW14" i="1"/>
  <c r="DV14" i="1"/>
  <c r="DL14" i="1"/>
  <c r="DM14" i="1" s="1"/>
  <c r="DG14" i="1"/>
  <c r="DF14" i="1"/>
  <c r="AB14" i="1"/>
  <c r="ED13" i="1"/>
  <c r="EE13" i="1" s="1"/>
  <c r="EC13" i="1"/>
  <c r="EB13" i="1"/>
  <c r="DX13" i="1"/>
  <c r="DY13" i="1" s="1"/>
  <c r="DW13" i="1"/>
  <c r="DV13" i="1"/>
  <c r="DL13" i="1"/>
  <c r="DM13" i="1" s="1"/>
  <c r="DG13" i="1"/>
  <c r="DF13" i="1"/>
  <c r="AB13" i="1"/>
  <c r="ED12" i="1"/>
  <c r="EE12" i="1" s="1"/>
  <c r="EC12" i="1"/>
  <c r="EB12" i="1"/>
  <c r="DX12" i="1"/>
  <c r="DY12" i="1" s="1"/>
  <c r="DW12" i="1"/>
  <c r="DV12" i="1"/>
  <c r="DL12" i="1"/>
  <c r="DM12" i="1" s="1"/>
  <c r="DG12" i="1"/>
  <c r="DF12" i="1"/>
  <c r="AB12" i="1"/>
  <c r="ED11" i="1"/>
  <c r="EE11" i="1" s="1"/>
  <c r="EC11" i="1"/>
  <c r="EB11" i="1"/>
  <c r="DX11" i="1"/>
  <c r="DY11" i="1" s="1"/>
  <c r="DW11" i="1"/>
  <c r="DV11" i="1"/>
  <c r="DL11" i="1"/>
  <c r="DM11" i="1" s="1"/>
  <c r="DG11" i="1"/>
  <c r="DF11" i="1"/>
  <c r="AB11" i="1"/>
  <c r="ED10" i="1"/>
  <c r="EE10" i="1" s="1"/>
  <c r="EC10" i="1"/>
  <c r="EB10" i="1"/>
  <c r="DX10" i="1"/>
  <c r="DY10" i="1" s="1"/>
  <c r="DW10" i="1"/>
  <c r="DV10" i="1"/>
  <c r="DL10" i="1"/>
  <c r="DM10" i="1" s="1"/>
  <c r="DG10" i="1"/>
  <c r="DF10" i="1"/>
  <c r="AB10" i="1"/>
  <c r="ED9" i="1"/>
  <c r="EE9" i="1" s="1"/>
  <c r="EC9" i="1"/>
  <c r="EB9" i="1"/>
  <c r="DX9" i="1"/>
  <c r="DY9" i="1" s="1"/>
  <c r="DW9" i="1"/>
  <c r="DV9" i="1"/>
  <c r="DL9" i="1"/>
  <c r="DM9" i="1" s="1"/>
  <c r="DG9" i="1"/>
  <c r="DF9" i="1"/>
  <c r="AB9" i="1"/>
  <c r="ED8" i="1"/>
  <c r="EE8" i="1" s="1"/>
  <c r="EC8" i="1"/>
  <c r="EB8" i="1"/>
  <c r="DX8" i="1"/>
  <c r="DY8" i="1" s="1"/>
  <c r="DW8" i="1"/>
  <c r="DV8" i="1"/>
  <c r="DL8" i="1"/>
  <c r="DM8" i="1" s="1"/>
  <c r="DG8" i="1"/>
  <c r="DF8" i="1"/>
  <c r="AB8" i="1"/>
  <c r="ED7" i="1"/>
  <c r="EE7" i="1" s="1"/>
  <c r="EC7" i="1"/>
  <c r="EB7" i="1"/>
  <c r="DX7" i="1"/>
  <c r="DY7" i="1" s="1"/>
  <c r="DW7" i="1"/>
  <c r="DV7" i="1"/>
  <c r="DL7" i="1"/>
  <c r="DM7" i="1" s="1"/>
  <c r="DG7" i="1"/>
  <c r="DF7" i="1"/>
  <c r="AB7" i="1"/>
  <c r="DG6" i="1"/>
  <c r="DF6" i="1"/>
  <c r="AB6" i="1"/>
  <c r="DG5" i="1"/>
  <c r="DF5" i="1"/>
  <c r="AB5" i="1"/>
  <c r="AB4" i="1"/>
  <c r="EF98" i="1" l="1"/>
  <c r="DZ90" i="1"/>
  <c r="EF96" i="1"/>
  <c r="EF95" i="1"/>
  <c r="DZ89" i="1"/>
  <c r="DZ47" i="1"/>
  <c r="EF82" i="1"/>
  <c r="EF103" i="1"/>
  <c r="EF84" i="1"/>
  <c r="EF101" i="1"/>
  <c r="EF60" i="1"/>
  <c r="EF67" i="1"/>
  <c r="DZ70" i="1"/>
  <c r="EF72" i="1"/>
  <c r="DZ85" i="1"/>
  <c r="DZ95" i="1"/>
  <c r="EF42" i="1"/>
  <c r="DZ84" i="1"/>
  <c r="EF49" i="1"/>
  <c r="EF65" i="1"/>
  <c r="DZ82" i="1"/>
  <c r="EF70" i="1"/>
  <c r="DZ75" i="1"/>
  <c r="DZ7" i="1"/>
  <c r="DZ9" i="1"/>
  <c r="DZ11" i="1"/>
  <c r="DZ13" i="1"/>
  <c r="DZ15" i="1"/>
  <c r="DZ97" i="1"/>
  <c r="DZ99" i="1"/>
  <c r="DZ102" i="1"/>
  <c r="EF63" i="1"/>
  <c r="EF89" i="1"/>
  <c r="DZ94" i="1"/>
  <c r="EF100" i="1"/>
  <c r="EF76" i="1"/>
  <c r="EF105" i="1"/>
  <c r="EF17" i="1"/>
  <c r="EF87" i="1"/>
  <c r="DZ92" i="1"/>
  <c r="DZ112" i="1"/>
  <c r="EF102" i="1"/>
  <c r="DF40" i="1"/>
  <c r="DZ50" i="1"/>
  <c r="EF73" i="1"/>
  <c r="EF80" i="1"/>
  <c r="EF94" i="1"/>
  <c r="EF104" i="1"/>
  <c r="EF41" i="1"/>
  <c r="EF56" i="1"/>
  <c r="EF66" i="1"/>
  <c r="EF79" i="1"/>
  <c r="DZ105" i="1"/>
  <c r="EF111" i="1"/>
  <c r="EA116" i="1"/>
  <c r="EB116" i="1" s="1"/>
  <c r="DG40" i="1"/>
  <c r="EF57" i="1"/>
  <c r="DZ87" i="1"/>
  <c r="EF92" i="1"/>
  <c r="DZ45" i="1"/>
  <c r="EF52" i="1"/>
  <c r="DZ55" i="1"/>
  <c r="EF62" i="1"/>
  <c r="EF64" i="1"/>
  <c r="EF78" i="1"/>
  <c r="DZ44" i="1"/>
  <c r="DZ54" i="1"/>
  <c r="EF44" i="1"/>
  <c r="EF107" i="1"/>
  <c r="DZ46" i="1"/>
  <c r="DZ56" i="1"/>
  <c r="EF61" i="1"/>
  <c r="DZ72" i="1"/>
  <c r="EF77" i="1"/>
  <c r="DZ96" i="1"/>
  <c r="DZ98" i="1"/>
  <c r="DZ111" i="1"/>
  <c r="EF40" i="1"/>
  <c r="EF43" i="1"/>
  <c r="EF46" i="1"/>
  <c r="DZ49" i="1"/>
  <c r="EF53" i="1"/>
  <c r="DZ69" i="1"/>
  <c r="DZ71" i="1"/>
  <c r="DZ91" i="1"/>
  <c r="DZ93" i="1"/>
  <c r="DZ42" i="1"/>
  <c r="EF51" i="1"/>
  <c r="EF54" i="1"/>
  <c r="DZ8" i="1"/>
  <c r="DZ10" i="1"/>
  <c r="DZ12" i="1"/>
  <c r="DZ14" i="1"/>
  <c r="DZ16" i="1"/>
  <c r="DZ48" i="1"/>
  <c r="EF58" i="1"/>
  <c r="DZ68" i="1"/>
  <c r="EF69" i="1"/>
  <c r="EF71" i="1"/>
  <c r="EF74" i="1"/>
  <c r="DZ86" i="1"/>
  <c r="DZ88" i="1"/>
  <c r="EF91" i="1"/>
  <c r="EF93" i="1"/>
  <c r="EF45" i="1"/>
  <c r="EF48" i="1"/>
  <c r="DZ51" i="1"/>
  <c r="EF55" i="1"/>
  <c r="EF68" i="1"/>
  <c r="DZ81" i="1"/>
  <c r="DZ83" i="1"/>
  <c r="EF86" i="1"/>
  <c r="EF88" i="1"/>
  <c r="DZ110" i="1"/>
  <c r="EF81" i="1"/>
  <c r="EF83" i="1"/>
  <c r="EF97" i="1"/>
  <c r="EF99" i="1"/>
  <c r="DZ109" i="1"/>
  <c r="EF110" i="1"/>
  <c r="EF112" i="1"/>
  <c r="EF9" i="1"/>
  <c r="EF13" i="1"/>
  <c r="EF15" i="1"/>
  <c r="DZ40" i="1"/>
  <c r="DZ41" i="1"/>
  <c r="DZ43" i="1"/>
  <c r="EF47" i="1"/>
  <c r="EF50" i="1"/>
  <c r="DZ53" i="1"/>
  <c r="DZ61" i="1"/>
  <c r="DZ76" i="1"/>
  <c r="DZ77" i="1"/>
  <c r="EF90" i="1"/>
  <c r="DZ100" i="1"/>
  <c r="EF109" i="1"/>
  <c r="DZ59" i="1"/>
  <c r="EF75" i="1"/>
  <c r="DZ17" i="1"/>
  <c r="EF59" i="1"/>
  <c r="EF7" i="1"/>
  <c r="EF11" i="1"/>
  <c r="EF39" i="1"/>
  <c r="DZ52" i="1"/>
  <c r="DZ62" i="1"/>
  <c r="DZ64" i="1"/>
  <c r="DZ78" i="1"/>
  <c r="EF85" i="1"/>
  <c r="DZ60" i="1"/>
  <c r="DZ103" i="1"/>
  <c r="DZ57" i="1"/>
  <c r="DZ58" i="1"/>
  <c r="DZ73" i="1"/>
  <c r="DZ74" i="1"/>
  <c r="DX106" i="1"/>
  <c r="DY106" i="1" s="1"/>
  <c r="ED106" i="1"/>
  <c r="EE106" i="1" s="1"/>
  <c r="EF106" i="1" s="1"/>
  <c r="DZ106" i="1"/>
  <c r="DZ67" i="1"/>
  <c r="DZ79" i="1"/>
  <c r="DZ80" i="1"/>
  <c r="DZ101" i="1"/>
  <c r="DZ39" i="1"/>
  <c r="DZ66" i="1"/>
  <c r="DZ104" i="1"/>
  <c r="EF8" i="1"/>
  <c r="EF10" i="1"/>
  <c r="EF12" i="1"/>
  <c r="EF14" i="1"/>
  <c r="EF16" i="1"/>
  <c r="DZ63" i="1"/>
  <c r="DZ65" i="1"/>
  <c r="DZ10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<sst xmlns="http://schemas.openxmlformats.org/spreadsheetml/2006/main" count="2070" uniqueCount="395">
  <si>
    <t>Before Experiment</t>
  </si>
  <si>
    <t>After Experiment</t>
  </si>
  <si>
    <t>exp info</t>
  </si>
  <si>
    <t>SHyST setting</t>
  </si>
  <si>
    <t>Schlieren setting</t>
  </si>
  <si>
    <t>camera setting</t>
  </si>
  <si>
    <t>labview log</t>
  </si>
  <si>
    <t>ESTCN</t>
  </si>
  <si>
    <t>After Cal</t>
  </si>
  <si>
    <t>Schlieren test time</t>
  </si>
  <si>
    <t>Schlieren scale</t>
  </si>
  <si>
    <t>맥 2차 모드</t>
  </si>
  <si>
    <t>#</t>
  </si>
  <si>
    <t>name</t>
  </si>
  <si>
    <t>date</t>
  </si>
  <si>
    <t>test model</t>
  </si>
  <si>
    <t>Objective</t>
  </si>
  <si>
    <t>Mach #</t>
  </si>
  <si>
    <t>air pressure(hpa)</t>
  </si>
  <si>
    <t xml:space="preserve">air temperature(C) </t>
  </si>
  <si>
    <t>air humidity(%)</t>
  </si>
  <si>
    <t>driver gas</t>
  </si>
  <si>
    <t>booster pressure(bar)</t>
  </si>
  <si>
    <t>first diaphragm</t>
  </si>
  <si>
    <t>second diaphragm</t>
  </si>
  <si>
    <t>Driven gas</t>
  </si>
  <si>
    <t>aimed driven pressure(barg)</t>
  </si>
  <si>
    <t xml:space="preserve">driven temperature(C) </t>
  </si>
  <si>
    <t>vacuum gauge(Torr)</t>
  </si>
  <si>
    <t>DAQ sampling rate</t>
  </si>
  <si>
    <t>Schlieren method</t>
  </si>
  <si>
    <t>Schlieren target</t>
  </si>
  <si>
    <t>camera</t>
  </si>
  <si>
    <t>FPS</t>
  </si>
  <si>
    <t>W</t>
  </si>
  <si>
    <t>H</t>
  </si>
  <si>
    <t>lens focal length</t>
  </si>
  <si>
    <t>Expose time(us)</t>
  </si>
  <si>
    <t>p1_avg[bar]</t>
  </si>
  <si>
    <t>T1_avg[Celcius]</t>
  </si>
  <si>
    <t>p4_avg[bar]</t>
  </si>
  <si>
    <t>p4_std[bar]</t>
  </si>
  <si>
    <t>T4_avg[Celcius]</t>
  </si>
  <si>
    <t>p5_avg[bar]</t>
  </si>
  <si>
    <t>p5_std[bar]</t>
  </si>
  <si>
    <t>test_time[ms]</t>
  </si>
  <si>
    <t>shock_speed[m/s]</t>
  </si>
  <si>
    <t>output_delay_time[ms]</t>
  </si>
  <si>
    <t>output_ready_time[ms]</t>
  </si>
  <si>
    <t>Stage 1 p (Pa)</t>
  </si>
  <si>
    <t>Stage 1 T (K)</t>
  </si>
  <si>
    <t>Stage 1 rho (kg/m**3)</t>
  </si>
  <si>
    <t>Stage 1 u (J/kg)</t>
  </si>
  <si>
    <t>Stage 1 h (J/kg)</t>
  </si>
  <si>
    <t>Stage 1 R (J/(kg.K))</t>
  </si>
  <si>
    <t>Stage 1 gam</t>
  </si>
  <si>
    <t>Stage 1 Cp (J/(kg.K))</t>
  </si>
  <si>
    <t>Stage 1 a (m/s)</t>
  </si>
  <si>
    <t>Stage 1 s (J/(kg.K))</t>
  </si>
  <si>
    <t>Stage 1 V (m/s)</t>
  </si>
  <si>
    <t>Stage 1 M</t>
  </si>
  <si>
    <t>Stage 2 p (Pa)</t>
  </si>
  <si>
    <t>Stage 2 T (K)</t>
  </si>
  <si>
    <t>Stage 2 rho (kg/m**3)</t>
  </si>
  <si>
    <t>Stage 2 u (J/kg)</t>
  </si>
  <si>
    <t>Stage 2 h (J/kg)</t>
  </si>
  <si>
    <t>Stage 2 R (J/(kg.K))</t>
  </si>
  <si>
    <t>Stage 2 gam</t>
  </si>
  <si>
    <t>Stage 2 Cp (J/(kg.K))</t>
  </si>
  <si>
    <t>Stage 2 a (m/s)</t>
  </si>
  <si>
    <t>Stage 2 s (J/(kg.K))</t>
  </si>
  <si>
    <t>Stage 2 V (m/s)</t>
  </si>
  <si>
    <t>Stage 2 M</t>
  </si>
  <si>
    <t>Stage 5 p (Pa)</t>
  </si>
  <si>
    <t>Stage 5 T (K)</t>
  </si>
  <si>
    <t>Stage 5 rho (kg/m**3)</t>
  </si>
  <si>
    <t>Stage 5 u (J/kg)</t>
  </si>
  <si>
    <t>Stage 5 h (J/kg)</t>
  </si>
  <si>
    <t>Stage 5 R (J/(kg.K))</t>
  </si>
  <si>
    <t>Stage 5 gam</t>
  </si>
  <si>
    <t>Stage 5 Cp (J/(kg.K))</t>
  </si>
  <si>
    <t>Stage 5 a (m/s)</t>
  </si>
  <si>
    <t>Stage 5 s (J/(kg.K))</t>
  </si>
  <si>
    <t>Stage 5 V (m/s)</t>
  </si>
  <si>
    <t>Stage 5 M</t>
  </si>
  <si>
    <t>Stage 5s p (Pa)</t>
  </si>
  <si>
    <t>Stage 5s T (K)</t>
  </si>
  <si>
    <t>Stage 5s rho (kg/m**3)</t>
  </si>
  <si>
    <t>Stage 5s u (J/kg)</t>
  </si>
  <si>
    <t>Stage 5s h (J/kg)</t>
  </si>
  <si>
    <t>Stage 5s R (J/(kg.K))</t>
  </si>
  <si>
    <t>Stage 5s gam</t>
  </si>
  <si>
    <t>Stage 5s Cp (J/(kg.K))</t>
  </si>
  <si>
    <t>Stage 5s a (m/s)</t>
  </si>
  <si>
    <t>Stage 5s s (J/(kg.K))</t>
  </si>
  <si>
    <t>Stage 5s V (m/s)</t>
  </si>
  <si>
    <t>Stage 5s M</t>
  </si>
  <si>
    <t>Stage 6 p (Pa)</t>
  </si>
  <si>
    <t>Stage 6 T (K)</t>
  </si>
  <si>
    <t>Stage 6 rho (kg/m**3)</t>
  </si>
  <si>
    <t>Stage 6 u (J/kg)</t>
  </si>
  <si>
    <t>Stage 6 h (J/kg)</t>
  </si>
  <si>
    <t>Stage 6 R (J/(kg.K))</t>
  </si>
  <si>
    <t>Stage 6 gam</t>
  </si>
  <si>
    <t>Stage 6 Cp (J/(kg.K))</t>
  </si>
  <si>
    <t>Stage 6 a (m/s)</t>
  </si>
  <si>
    <t>Stage 6 s (J/(kg.K))</t>
  </si>
  <si>
    <t>Stage 6 V (m/s)</t>
  </si>
  <si>
    <t>Stage 6 M</t>
  </si>
  <si>
    <t>Stage 7 p (Pa)</t>
  </si>
  <si>
    <t>Stage 7 T (K)</t>
  </si>
  <si>
    <t>Stage 7 rho (kg/m**3)</t>
  </si>
  <si>
    <t>Stage 7 u (J/kg)</t>
  </si>
  <si>
    <t>Stage 7 h (J/kg)</t>
  </si>
  <si>
    <t>Stage 7 R (J/(kg.K))</t>
  </si>
  <si>
    <t>Stage 7 gam</t>
  </si>
  <si>
    <t>Stage 7 Cp (J/(kg.K))</t>
  </si>
  <si>
    <t>Stage 7 a (m/s)</t>
  </si>
  <si>
    <t>Stage 7 s (J/(kg.K))</t>
  </si>
  <si>
    <t>Stage 7 V (m/s)</t>
  </si>
  <si>
    <t>Stage 7 M</t>
  </si>
  <si>
    <t>Re7</t>
  </si>
  <si>
    <t>h_tot7</t>
  </si>
  <si>
    <t>pcc #</t>
  </si>
  <si>
    <t>image format</t>
  </si>
  <si>
    <t>Schlieren first contact frame</t>
  </si>
  <si>
    <t>test time start frame</t>
  </si>
  <si>
    <t>test time end frame</t>
  </si>
  <si>
    <t>scale(m/pixel)</t>
  </si>
  <si>
    <t>우측 콘팁 빗변 거리(m)</t>
  </si>
  <si>
    <t>좌측 콘팁 빗변 거리(m)</t>
  </si>
  <si>
    <t>대략적 최소 천이위치(cm)</t>
  </si>
  <si>
    <t>천이레이놀즈수</t>
  </si>
  <si>
    <t>비고</t>
  </si>
  <si>
    <t>압센 데이터</t>
  </si>
  <si>
    <t>M_cone</t>
  </si>
  <si>
    <t>rho_cone</t>
  </si>
  <si>
    <t>T_cone</t>
  </si>
  <si>
    <t>a_cone</t>
  </si>
  <si>
    <t>u_cone</t>
  </si>
  <si>
    <t>Re_cone</t>
  </si>
  <si>
    <t>M_wedge</t>
  </si>
  <si>
    <t>rho_wedge</t>
  </si>
  <si>
    <t>T_wedge</t>
  </si>
  <si>
    <t>a_wedge</t>
  </si>
  <si>
    <t>u_wedge</t>
  </si>
  <si>
    <t>Re_wedge</t>
  </si>
  <si>
    <t>0 예시</t>
  </si>
  <si>
    <t>허정무</t>
  </si>
  <si>
    <t>porous cone</t>
  </si>
  <si>
    <t>mack 2nd mode exp</t>
  </si>
  <si>
    <t>air 1bar + He</t>
  </si>
  <si>
    <t># 100 Al1015 5T 0.31DP</t>
  </si>
  <si>
    <t>PET 100micro</t>
  </si>
  <si>
    <t>Air</t>
  </si>
  <si>
    <t>z-type</t>
  </si>
  <si>
    <t>cone back surface</t>
  </si>
  <si>
    <t>TMX7510</t>
  </si>
  <si>
    <t>200 x2</t>
  </si>
  <si>
    <t>-</t>
  </si>
  <si>
    <t>7deg cone</t>
  </si>
  <si>
    <t>demo prep</t>
  </si>
  <si>
    <t xml:space="preserve">PET 0.3mm x5 </t>
  </si>
  <si>
    <t>cone front</t>
  </si>
  <si>
    <t>demo</t>
  </si>
  <si>
    <t>허정무, 남준혁</t>
  </si>
  <si>
    <t># 116 Al1015 5T 0.3DP</t>
  </si>
  <si>
    <t>cone surface 15~30cm</t>
  </si>
  <si>
    <t>tif</t>
  </si>
  <si>
    <t># 117 Al1015 5T 0.3DP</t>
  </si>
  <si>
    <t>cone surface 25~40cm</t>
  </si>
  <si>
    <t># 118 Al1015 5T 0.3DP</t>
  </si>
  <si>
    <t>cone surface 35~50cm</t>
  </si>
  <si>
    <t>허정무 남준혁 김진휘</t>
  </si>
  <si>
    <t>sensor cone</t>
  </si>
  <si>
    <t># 119 Al1015 5T 0.3DP</t>
  </si>
  <si>
    <t># 120 Al1015 5T 0.3DP</t>
  </si>
  <si>
    <t># 121 Al1015 5T 0.3DP</t>
  </si>
  <si>
    <t># 122 Al1015 5T 0.3DP</t>
  </si>
  <si>
    <t># 123 Al1015 5T 0.3DP</t>
  </si>
  <si>
    <t># 124 Al1015 5T 0.3DP</t>
  </si>
  <si>
    <t># 125 Al1015 5T 0.3DP</t>
  </si>
  <si>
    <t># 126 Al1015 5T 0.3DP</t>
  </si>
  <si>
    <t>x</t>
  </si>
  <si>
    <t>pitot rake</t>
  </si>
  <si>
    <t>pitot exp 10cm</t>
  </si>
  <si>
    <t># 127 Al1015 5T 0.3DP</t>
  </si>
  <si>
    <t>pitot rake front</t>
  </si>
  <si>
    <t># 128 Al1015 5T 0.3DP</t>
  </si>
  <si>
    <t># 129 Al1015 5T 0.3DP</t>
  </si>
  <si>
    <t>허정무 남준혁 이재헌</t>
  </si>
  <si>
    <t>pitot exp 30cm</t>
  </si>
  <si>
    <t># 130 Al1015 5T 0.3DP</t>
  </si>
  <si>
    <t>pitot exp 50cm</t>
  </si>
  <si>
    <t># 131 Al1015 5T 0.3DP</t>
  </si>
  <si>
    <t>cone shock angle</t>
  </si>
  <si>
    <t># 132 Al1015 5T 0.3DP</t>
  </si>
  <si>
    <t># 133 Al1015 5T 0.3DP</t>
  </si>
  <si>
    <t>cone surface 4.3~27.7cm</t>
  </si>
  <si>
    <t>알루미늄 격막</t>
  </si>
  <si>
    <t># 134 Al1015 5T 0.3DP</t>
  </si>
  <si>
    <t>cone surface 12~27cm</t>
  </si>
  <si>
    <t>PET 격막</t>
  </si>
  <si>
    <t># 135 Al1015 5T 0.3DP</t>
  </si>
  <si>
    <t>허정무, 김진휘</t>
  </si>
  <si>
    <t># 136 Al1015 5T 0.3DP</t>
  </si>
  <si>
    <t>cone surface 25.5~40.3cm</t>
  </si>
  <si>
    <t>over tailored</t>
  </si>
  <si>
    <t># 137 Al1015 5T 0.3DP</t>
  </si>
  <si>
    <t>cone surface 20~35cm</t>
  </si>
  <si>
    <t>김진휘, 남준혁</t>
  </si>
  <si>
    <t># 138 Al1015 5T 0.3DP</t>
  </si>
  <si>
    <t>ㅌ</t>
  </si>
  <si>
    <t># 139 Al1015 5T 0.3DP</t>
  </si>
  <si>
    <t>trigger check</t>
  </si>
  <si>
    <t># 140 Al1015 5T 0.3DP</t>
  </si>
  <si>
    <t>cone surface 5~10cm</t>
  </si>
  <si>
    <t>대학연대 시연</t>
  </si>
  <si>
    <t># 141 Al1015 5T 0.3DP</t>
  </si>
  <si>
    <t># 142 Al1015 5T 0.3DP</t>
  </si>
  <si>
    <t>cone surface 5~20cm</t>
  </si>
  <si>
    <t>thermocouple, mach 7 nozzle flow, sensor</t>
  </si>
  <si>
    <t># 143 Al1015 5T 0.3DP</t>
  </si>
  <si>
    <t># 144 Al1015 5T 0.3DP</t>
  </si>
  <si>
    <r>
      <rPr>
        <b/>
        <sz val="12"/>
        <color rgb="FF000000"/>
        <rFont val="맑은 고딕"/>
        <family val="3"/>
        <charset val="129"/>
      </rPr>
      <t>20</t>
    </r>
    <r>
      <rPr>
        <b/>
        <sz val="12"/>
        <color rgb="FFFF0000"/>
        <rFont val="맑은 고딕"/>
        <family val="3"/>
        <charset val="129"/>
      </rPr>
      <t>(osciloscope)</t>
    </r>
  </si>
  <si>
    <t>H1</t>
  </si>
  <si>
    <t>sensor(p,T), mack 2nd mode</t>
  </si>
  <si>
    <t>PET 0.3mm x7</t>
  </si>
  <si>
    <t>cone surface 30~45cm</t>
  </si>
  <si>
    <t>처음부터 터짐</t>
  </si>
  <si>
    <t>driver driven p,T ,sensor(p,T), mack 2nd mode</t>
  </si>
  <si>
    <t># 145 Al1015 5T 0.3DP</t>
  </si>
  <si>
    <t># 146 Al1015 5T 0.3DP</t>
  </si>
  <si>
    <t>R2 mm ,driver driven p,T ,sensor(p,T), mack 2nd mode</t>
  </si>
  <si>
    <t># 147 Al1015 5T 0.3DP</t>
  </si>
  <si>
    <t># 148 Al1015 5T 0.3DP</t>
  </si>
  <si>
    <t>R1 mm ,driver driven p,T ,sensor(p,T), mack 2nd mode</t>
  </si>
  <si>
    <t># 149 Al1015 5T 0.3DP</t>
  </si>
  <si>
    <t># 150 Al1015 5T 0.3DP</t>
  </si>
  <si>
    <t xml:space="preserve">PET 0.3mm x10 </t>
  </si>
  <si>
    <t>PET 0.3mm x4</t>
  </si>
  <si>
    <t># 151 Al1015 5T 0.3DP</t>
  </si>
  <si>
    <t>H2</t>
  </si>
  <si>
    <t>쓸만함</t>
  </si>
  <si>
    <t># 152 Al1015 5T 0.3DP</t>
  </si>
  <si>
    <t>cone surface 37~52cm</t>
  </si>
  <si>
    <t># 153 Al1015 5T 0.3DP</t>
  </si>
  <si>
    <t>허정무 남준혁</t>
  </si>
  <si>
    <t># 154 Al1015 5T 0.3DP</t>
  </si>
  <si>
    <t># 155 Al1015 5T 0.3DP</t>
  </si>
  <si>
    <t>Re3</t>
  </si>
  <si>
    <t>Re5</t>
  </si>
  <si>
    <t>Re2</t>
  </si>
  <si>
    <t># 156 Al1015 5T 0.3DP</t>
  </si>
  <si>
    <t>허정무 남준혁 김진영 김진휘</t>
  </si>
  <si>
    <t>PET 0.3mm x8</t>
  </si>
  <si>
    <t>허정무 남준혁 김진영 김진휘 정석현</t>
  </si>
  <si>
    <t>M1</t>
  </si>
  <si>
    <t>L1</t>
  </si>
  <si>
    <t>cone surface 0~cm</t>
  </si>
  <si>
    <t>PET 0.15mm x8</t>
  </si>
  <si>
    <t>L2</t>
  </si>
  <si>
    <t>PET 0.15mm x14</t>
  </si>
  <si>
    <t>M2</t>
  </si>
  <si>
    <t>PET 0.15mm x12</t>
  </si>
  <si>
    <t>cone surface 10~25cm</t>
  </si>
  <si>
    <t># 157 Al1015 5T 0.3DP</t>
  </si>
  <si>
    <t>CO2</t>
  </si>
  <si>
    <t>Re30</t>
  </si>
  <si>
    <t># 158 Al1015 5T 0.3DP</t>
  </si>
  <si>
    <t>cone surface 2~17cm</t>
  </si>
  <si>
    <t># 159 Al1015 5T 0.3DP</t>
  </si>
  <si>
    <t>Re16</t>
  </si>
  <si>
    <t># 160 Al1015 5T 0.3DP</t>
  </si>
  <si>
    <t>cone surface 0~15cm</t>
  </si>
  <si>
    <t>Re10</t>
  </si>
  <si>
    <t>허정무 남준혁 염경민</t>
  </si>
  <si>
    <t>Re13</t>
  </si>
  <si>
    <t>PET 0.15mm x10</t>
  </si>
  <si>
    <t>PET 0.15mm x5</t>
  </si>
  <si>
    <t>cone surface 45~60cm</t>
  </si>
  <si>
    <t># 161 Al1015 5T 0.3DP</t>
  </si>
  <si>
    <t># 162 Al1015 5T 0.3DP</t>
  </si>
  <si>
    <t>허정무 김진휘</t>
  </si>
  <si>
    <t>mid enthalpy</t>
  </si>
  <si>
    <t>hemishpere</t>
  </si>
  <si>
    <t>CO2 shock standoff distance</t>
  </si>
  <si>
    <t># 163 Al1015 5T 0.3DP</t>
  </si>
  <si>
    <t>all</t>
  </si>
  <si>
    <t>허정무 김진영 김진휘 남준혁 염경민</t>
  </si>
  <si>
    <t>TSP trigger</t>
  </si>
  <si>
    <t>PET 0.15mm x7</t>
  </si>
  <si>
    <t>pitot co2</t>
  </si>
  <si>
    <t># 164 Al1015 5T 0.3DP</t>
  </si>
  <si>
    <t>허정무 김진휘 남준혁 염경민</t>
  </si>
  <si>
    <t># 165 Al1015 5T 0.3DP</t>
  </si>
  <si>
    <t># 166 Al1015 5T 0.3DP</t>
  </si>
  <si>
    <t>허정무 김진영</t>
  </si>
  <si>
    <t>대표유동 검증</t>
  </si>
  <si>
    <t># 167 Al1015 5T 0.3DP</t>
  </si>
  <si>
    <t>cone surface 11~40cm</t>
  </si>
  <si>
    <t>허정무 김진영 남준혁</t>
  </si>
  <si>
    <t>wedge</t>
  </si>
  <si>
    <t>wefge 천이위치 특정</t>
  </si>
  <si>
    <t># 168 Al1015 5T 0.3DP</t>
  </si>
  <si>
    <t>PET 0.15mm x23</t>
  </si>
  <si>
    <t>허정무 김진영 남준혁 김진휘</t>
  </si>
  <si>
    <t>TSP</t>
  </si>
  <si>
    <t># 169 Al1015 5T 0.3DP</t>
  </si>
  <si>
    <t>upper side</t>
  </si>
  <si>
    <t># 170 Al1015 5T 0.3DP</t>
  </si>
  <si>
    <t>capsule</t>
  </si>
  <si>
    <t># 171 Al1015 5T 0.3DP</t>
  </si>
  <si>
    <t># 172 Al1015 5T 0.3DP</t>
  </si>
  <si>
    <t>air 1bar + N2 10bar + He</t>
  </si>
  <si>
    <t>TSP cone</t>
  </si>
  <si>
    <t>cone surface 15~40cm</t>
  </si>
  <si>
    <t>TSP porous cone</t>
  </si>
  <si>
    <t>PET 0.15mm x21</t>
  </si>
  <si>
    <t>TSP sensor cone</t>
  </si>
  <si>
    <t>air 1bar + N2</t>
  </si>
  <si>
    <t>PET 0.15mm x9</t>
  </si>
  <si>
    <t>?</t>
  </si>
  <si>
    <t>허정무 염경민</t>
  </si>
  <si>
    <t>BOS</t>
  </si>
  <si>
    <t>200x2</t>
  </si>
  <si>
    <t>허정무 김진영 김진휘 남준혁</t>
  </si>
  <si>
    <t>half half cone uniforn</t>
  </si>
  <si>
    <t>cone smooth surface 20~35cm</t>
  </si>
  <si>
    <t>cone smooth surface 30~45cm</t>
  </si>
  <si>
    <t>cone porous surface 30~45cm</t>
  </si>
  <si>
    <t>허정무 김진휘 남준혁</t>
  </si>
  <si>
    <t>mack 2nd mode exp 포러스 표면을 상단으로 옮김</t>
  </si>
  <si>
    <t>cone smooth surface 32~47cm</t>
  </si>
  <si>
    <t>허정무 김진영 김진휘 염경민</t>
  </si>
  <si>
    <t>half half cone non-uniforn 2</t>
  </si>
  <si>
    <t>cone porous surface 20~35cm</t>
  </si>
  <si>
    <t>half half cone non-uniforn 1</t>
  </si>
  <si>
    <t>김진영 김진휘 남준혁</t>
  </si>
  <si>
    <t>pitot co2 nozzle exit</t>
  </si>
  <si>
    <t>cone surface 15~45cm</t>
  </si>
  <si>
    <t>허정무 김진영 김진휘</t>
  </si>
  <si>
    <t>국과연 시연</t>
  </si>
  <si>
    <t>성능시험</t>
  </si>
  <si>
    <t># 173 Al1015 5T 0.3DP</t>
  </si>
  <si>
    <t>아노다이징+테이핑 half half cone uniforn</t>
  </si>
  <si>
    <t># 174 Al1015 5T 0.3DP</t>
  </si>
  <si>
    <t># 175 Al1015 5T 0.3DP</t>
  </si>
  <si>
    <t>아노다이징+테이핑 half half cone non-uniforn(mix)</t>
  </si>
  <si>
    <t># 176 Al1015 5T 0.3DP</t>
  </si>
  <si>
    <t>아노다이징+테이핑 half half cone non-uniforn(f&amp;b)</t>
  </si>
  <si>
    <t># 177 Al1015 5T 0.3DP</t>
  </si>
  <si>
    <t># 178 Al1015 5T 0.3DP</t>
  </si>
  <si>
    <t># 179 Al1015 5T 0.3DP</t>
  </si>
  <si>
    <t># 180 Al1015 5T 0.3DP</t>
    <phoneticPr fontId="7" type="noConversion"/>
  </si>
  <si>
    <t>허정무 김진영 김진휘</t>
    <phoneticPr fontId="7" type="noConversion"/>
  </si>
  <si>
    <t>cone porous surface 30~45cm</t>
    <phoneticPr fontId="7" type="noConversion"/>
  </si>
  <si>
    <t>허정무 김진영 김진휘 이현섭</t>
    <phoneticPr fontId="7" type="noConversion"/>
  </si>
  <si>
    <t># 181 Al1015 5T 0.3DP</t>
    <phoneticPr fontId="7" type="noConversion"/>
  </si>
  <si>
    <t>허정무 김진휘 염경민</t>
    <phoneticPr fontId="7" type="noConversion"/>
  </si>
  <si>
    <t>thermocouple hemisphere</t>
    <phoneticPr fontId="7" type="noConversion"/>
  </si>
  <si>
    <t>stagnation temperature</t>
    <phoneticPr fontId="7" type="noConversion"/>
  </si>
  <si>
    <t>air 1bar + He</t>
    <phoneticPr fontId="7" type="noConversion"/>
  </si>
  <si>
    <t>PET 100micro</t>
    <phoneticPr fontId="7" type="noConversion"/>
  </si>
  <si>
    <t>Air</t>
    <phoneticPr fontId="7" type="noConversion"/>
  </si>
  <si>
    <t>TMX7510</t>
    <phoneticPr fontId="7" type="noConversion"/>
  </si>
  <si>
    <t>z-type (shadowgraph)</t>
    <phoneticPr fontId="7" type="noConversion"/>
  </si>
  <si>
    <t>R75 hemisphere</t>
    <phoneticPr fontId="7" type="noConversion"/>
  </si>
  <si>
    <t># 182 Al1015 5T 0.3DP</t>
  </si>
  <si>
    <t>허정무 김진영 김진휘 염경민 권나현</t>
    <phoneticPr fontId="7" type="noConversion"/>
  </si>
  <si>
    <t>pitot rake</t>
    <phoneticPr fontId="7" type="noConversion"/>
  </si>
  <si>
    <t>유동 테일러드</t>
    <phoneticPr fontId="7" type="noConversion"/>
  </si>
  <si>
    <t>PET 0.15mm x5</t>
    <phoneticPr fontId="7" type="noConversion"/>
  </si>
  <si>
    <t>Air</t>
    <phoneticPr fontId="7" type="noConversion"/>
  </si>
  <si>
    <t>air 4.65bar + He</t>
    <phoneticPr fontId="7" type="noConversion"/>
  </si>
  <si>
    <t>air 7.91bar + He</t>
    <phoneticPr fontId="7" type="noConversion"/>
  </si>
  <si>
    <t>PET 0.15mm x8</t>
    <phoneticPr fontId="7" type="noConversion"/>
  </si>
  <si>
    <t>air 14.76bar + He</t>
    <phoneticPr fontId="7" type="noConversion"/>
  </si>
  <si>
    <t>PET 0.15mm x13</t>
    <phoneticPr fontId="7" type="noConversion"/>
  </si>
  <si>
    <t>허정무 김진영</t>
    <phoneticPr fontId="7" type="noConversion"/>
  </si>
  <si>
    <t>허정무 김진영 남준혁</t>
    <phoneticPr fontId="7" type="noConversion"/>
  </si>
  <si>
    <t>air 8.38bar + He</t>
    <phoneticPr fontId="7" type="noConversion"/>
  </si>
  <si>
    <t>허정무 김진영 김진휘</t>
    <phoneticPr fontId="7" type="noConversion"/>
  </si>
  <si>
    <t>air 8.62bar + He</t>
    <phoneticPr fontId="7" type="noConversion"/>
  </si>
  <si>
    <t>double cone</t>
    <phoneticPr fontId="7" type="noConversion"/>
  </si>
  <si>
    <t>double cone 온도 측정</t>
    <phoneticPr fontId="7" type="noConversion"/>
  </si>
  <si>
    <t>air 16.0884 + He</t>
    <phoneticPr fontId="7" type="noConversion"/>
  </si>
  <si>
    <t>Air</t>
    <phoneticPr fontId="7" type="noConversion"/>
  </si>
  <si>
    <t>z-type</t>
    <phoneticPr fontId="7" type="noConversion"/>
  </si>
  <si>
    <t>200 x2</t>
    <phoneticPr fontId="7" type="noConversion"/>
  </si>
  <si>
    <t>허정무 김진영 김진휘 남준혁 염경민 권나현</t>
    <phoneticPr fontId="7" type="noConversion"/>
  </si>
  <si>
    <t>double cone 상단</t>
    <phoneticPr fontId="7" type="noConversion"/>
  </si>
  <si>
    <t>air 8.62bar + He</t>
    <phoneticPr fontId="7" type="noConversion"/>
  </si>
  <si>
    <t>PET 0.15mm x8</t>
    <phoneticPr fontId="7" type="noConversion"/>
  </si>
  <si>
    <t>double cone 상단 25deg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</si>
</sst>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E+00"/>
    <numFmt numFmtId="165" formatCode="0.00\.E+00"/>
    <numFmt numFmtId="166" formatCode="0_);[Red]\(0\)"/>
    <numFmt numFmtId="167" formatCode="0.00000\.E+00"/>
    <numFmt numFmtId="168" formatCode="0.000\.E+00"/>
    <numFmt numFmtId="169" formatCode="0.0000\.E+00"/>
    <numFmt numFmtId="170" formatCode="0.0\.E+00"/>
  </numFmts>
  <fonts count="8">
    <font>
      <sz val="12"/>
      <color rgb="FF000000"/>
      <name val="맑은 고딕"/>
      <family val="2"/>
      <charset val="129"/>
    </font>
    <font>
      <sz val="11"/>
      <color rgb="FF000000"/>
      <name val="Calibri"/>
      <family val="2"/>
      <charset val="1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Malgun Gothic"/>
      <family val="2"/>
      <charset val="129"/>
    </font>
    <font>
      <sz val="11"/>
      <color rgb="FF000000"/>
      <name val="맑은 고딕"/>
      <family val="2"/>
      <charset val="129"/>
    </font>
    <font>
      <b/>
      <sz val="12"/>
      <color rgb="FFFF0000"/>
      <name val="맑은 고딕"/>
      <family val="3"/>
      <charset val="129"/>
    </font>
    <font>
      <sz val="8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E8E8E8"/>
        <bgColor rgb="FFDCEAF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8ED973"/>
      </patternFill>
    </fill>
    <fill>
      <patternFill patternType="solid">
        <fgColor rgb="FFFF0000"/>
        <bgColor rgb="FF993300"/>
      </patternFill>
    </fill>
    <fill>
      <patternFill patternType="solid">
        <fgColor rgb="FFDCEAF7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2CFEE"/>
        <bgColor rgb="FFE8E8E8"/>
      </patternFill>
    </fill>
    <fill>
      <patternFill patternType="solid">
        <fgColor rgb="FFB4E5A2"/>
        <bgColor rgb="FFD9F2D0"/>
      </patternFill>
    </fill>
    <fill>
      <patternFill patternType="solid">
        <fgColor rgb="FF4EA72E"/>
        <bgColor rgb="FF808000"/>
      </patternFill>
    </fill>
    <fill>
      <patternFill patternType="solid">
        <fgColor rgb="FF8ED973"/>
        <bgColor rgb="FF92D050"/>
      </patternFill>
    </fill>
    <fill>
      <patternFill patternType="solid">
        <fgColor rgb="FFD9F2D0"/>
        <bgColor rgb="FFE2F0D9"/>
      </patternFill>
    </fill>
    <fill>
      <patternFill patternType="solid">
        <fgColor rgb="FFE2F0D9"/>
        <bgColor rgb="FFD9F2D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3" borderId="0" xfId="0" applyFill="1" applyAlignment="1"/>
    <xf numFmtId="165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>
      <alignment vertical="center"/>
    </xf>
    <xf numFmtId="165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67" fontId="0" fillId="6" borderId="0" xfId="0" applyNumberForma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/>
    <xf numFmtId="0" fontId="0" fillId="3" borderId="1" xfId="0" applyFill="1" applyBorder="1" applyAlignment="1"/>
    <xf numFmtId="168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/>
    <xf numFmtId="168" fontId="0" fillId="8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7" fontId="0" fillId="8" borderId="1" xfId="0" applyNumberFormat="1" applyFill="1" applyBorder="1" applyAlignment="1">
      <alignment horizontal="center" vertical="center"/>
    </xf>
    <xf numFmtId="11" fontId="0" fillId="8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/>
    <xf numFmtId="165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164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7" fontId="0" fillId="3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16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/>
    <xf numFmtId="165" fontId="0" fillId="9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6" fontId="0" fillId="9" borderId="0" xfId="0" applyNumberFormat="1" applyFill="1" applyAlignment="1">
      <alignment horizontal="center" vertical="center"/>
    </xf>
    <xf numFmtId="167" fontId="0" fillId="9" borderId="0" xfId="0" applyNumberFormat="1" applyFill="1" applyAlignment="1">
      <alignment horizontal="center" vertical="center"/>
    </xf>
    <xf numFmtId="11" fontId="0" fillId="9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right" vertical="center"/>
    </xf>
    <xf numFmtId="165" fontId="0" fillId="11" borderId="0" xfId="0" applyNumberFormat="1" applyFill="1" applyAlignment="1">
      <alignment horizontal="center" vertical="center"/>
    </xf>
    <xf numFmtId="165" fontId="0" fillId="12" borderId="0" xfId="0" applyNumberFormat="1" applyFill="1" applyAlignment="1">
      <alignment horizontal="center" vertical="center"/>
    </xf>
    <xf numFmtId="165" fontId="0" fillId="13" borderId="0" xfId="0" applyNumberFormat="1" applyFill="1" applyAlignment="1">
      <alignment horizontal="center" vertical="center"/>
    </xf>
    <xf numFmtId="0" fontId="0" fillId="9" borderId="0" xfId="0" applyFill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0" fillId="13" borderId="1" xfId="0" applyFill="1" applyBorder="1" applyAlignment="1"/>
    <xf numFmtId="165" fontId="0" fillId="13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6" fontId="0" fillId="13" borderId="1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/>
    <xf numFmtId="165" fontId="0" fillId="14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horizontal="right" vertical="center"/>
    </xf>
    <xf numFmtId="0" fontId="0" fillId="14" borderId="1" xfId="0" applyFill="1" applyBorder="1" applyAlignment="1">
      <alignment horizontal="right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/>
    <xf numFmtId="168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Alignment="1"/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5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170" fontId="0" fillId="3" borderId="0" xfId="0" applyNumberFormat="1" applyFill="1" applyAlignment="1">
      <alignment horizontal="center" vertical="center"/>
    </xf>
    <xf numFmtId="170" fontId="0" fillId="9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F2F2F2"/>
      <rgbColor rgb="FFDCEAF7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D9F2D0"/>
      <rgbColor rgb="FFE8E8E8"/>
      <rgbColor rgb="FF8ED973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12</v>
    <v>AA18</v>
    <v>0</v>
  </rv>
  <rv s="0">
    <v>12</v>
    <v>AB38</v>
    <v>0</v>
  </rv>
  <rv s="0">
    <v>12</v>
    <v>AC38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63"/>
  <sheetViews>
    <sheetView tabSelected="1" zoomScale="86" zoomScaleNormal="100" workbookViewId="0">
      <pane xSplit="1" ySplit="3" topLeftCell="R136" activePane="bottomRight" state="frozen"/>
      <selection pane="topRight" activeCell="DC1" sqref="DC1"/>
      <selection pane="bottomLeft" activeCell="A134" sqref="A134"/>
      <selection pane="bottomRight" activeCell="AC160" sqref="AC160"/>
    </sheetView>
  </sheetViews>
  <sheetFormatPr baseColWidth="10" defaultColWidth="10.7109375" defaultRowHeight="18"/>
  <cols>
    <col min="1" max="1" width="10.7109375" style="1"/>
    <col min="2" max="2" width="34" style="2" customWidth="1"/>
    <col min="3" max="3" width="16" style="2" customWidth="1"/>
    <col min="4" max="4" width="46.28515625" style="2" customWidth="1"/>
    <col min="5" max="5" width="50.5703125" style="2" customWidth="1"/>
    <col min="6" max="6" width="12.85546875" style="2" customWidth="1"/>
    <col min="7" max="7" width="19.7109375" style="2" customWidth="1"/>
    <col min="8" max="8" width="21.7109375" style="2" customWidth="1"/>
    <col min="9" max="9" width="18.42578125" style="2" customWidth="1"/>
    <col min="10" max="10" width="24.5703125" style="2" customWidth="1"/>
    <col min="11" max="11" width="18.42578125" style="2" customWidth="1"/>
    <col min="12" max="12" width="22" style="2" customWidth="1"/>
    <col min="13" max="13" width="24.28515625" style="2" customWidth="1"/>
    <col min="14" max="14" width="14" style="2" customWidth="1"/>
    <col min="15" max="15" width="29.85546875" style="2" customWidth="1"/>
    <col min="16" max="16" width="19.85546875" style="2" customWidth="1"/>
    <col min="17" max="18" width="22" style="2" customWidth="1"/>
    <col min="19" max="19" width="15.5703125" style="2" customWidth="1"/>
    <col min="20" max="20" width="29.140625" style="2" customWidth="1"/>
    <col min="21" max="21" width="13" style="2" customWidth="1"/>
    <col min="22" max="22" width="9.7109375" style="2" customWidth="1"/>
    <col min="23" max="23" width="5.7109375" style="2" customWidth="1"/>
    <col min="24" max="24" width="4.7109375" style="2" customWidth="1"/>
    <col min="25" max="25" width="14.5703125" style="2" customWidth="1"/>
    <col min="26" max="26" width="14" style="2" customWidth="1"/>
    <col min="27" max="27" width="14.85546875" style="2" customWidth="1"/>
    <col min="28" max="28" width="14.85546875" customWidth="1"/>
    <col min="29" max="30" width="12.7109375" style="2" customWidth="1"/>
    <col min="31" max="31" width="17.42578125" style="2" customWidth="1"/>
    <col min="32" max="34" width="11.7109375" style="2" customWidth="1"/>
    <col min="35" max="35" width="15.42578125" style="2" customWidth="1"/>
    <col min="36" max="36" width="19.5703125" style="2" customWidth="1"/>
    <col min="37" max="37" width="19.7109375" style="2" customWidth="1"/>
    <col min="38" max="38" width="16.85546875" style="3" customWidth="1"/>
    <col min="39" max="39" width="11.42578125" style="3" customWidth="1"/>
    <col min="40" max="40" width="19" style="3" customWidth="1"/>
    <col min="41" max="42" width="14" style="2" customWidth="1"/>
    <col min="43" max="43" width="16.85546875" style="2" customWidth="1"/>
    <col min="44" max="44" width="11.140625" style="2" customWidth="1"/>
    <col min="45" max="45" width="18" style="2" customWidth="1"/>
    <col min="46" max="46" width="13.42578125" style="2" customWidth="1"/>
    <col min="47" max="47" width="16.5703125" style="2" customWidth="1"/>
    <col min="48" max="48" width="13.5703125" style="3" customWidth="1"/>
    <col min="49" max="49" width="9.42578125" style="2" customWidth="1"/>
    <col min="50" max="50" width="12.42578125" style="3" customWidth="1"/>
    <col min="51" max="51" width="11.42578125" style="3" customWidth="1"/>
    <col min="52" max="52" width="19" style="3" customWidth="1"/>
    <col min="53" max="54" width="14" style="2" customWidth="1"/>
    <col min="55" max="55" width="16.85546875" style="2" customWidth="1"/>
    <col min="56" max="56" width="11.140625" style="2" customWidth="1"/>
    <col min="57" max="57" width="18" style="2" customWidth="1"/>
    <col min="58" max="58" width="13.42578125" style="2" customWidth="1"/>
    <col min="59" max="59" width="16.5703125" style="2" customWidth="1"/>
    <col min="60" max="60" width="13.5703125" style="2" customWidth="1"/>
    <col min="61" max="61" width="12.7109375" style="2" customWidth="1"/>
    <col min="62" max="62" width="12.42578125" style="3" customWidth="1"/>
    <col min="63" max="63" width="11.42578125" style="3" customWidth="1"/>
    <col min="64" max="64" width="19" style="2" customWidth="1"/>
    <col min="65" max="66" width="14" style="2" customWidth="1"/>
    <col min="67" max="67" width="16.85546875" style="2" customWidth="1"/>
    <col min="68" max="68" width="11.140625" style="2" customWidth="1"/>
    <col min="69" max="69" width="18" style="2" customWidth="1"/>
    <col min="70" max="70" width="13.42578125" style="2" customWidth="1"/>
    <col min="71" max="71" width="16.5703125" style="2" customWidth="1"/>
    <col min="72" max="72" width="13.5703125" style="2" customWidth="1"/>
    <col min="73" max="73" width="9.42578125" style="2" customWidth="1"/>
    <col min="74" max="74" width="13.28515625" style="3" customWidth="1"/>
    <col min="75" max="75" width="12.140625" style="2" customWidth="1"/>
    <col min="76" max="76" width="19.85546875" style="2" customWidth="1"/>
    <col min="77" max="78" width="14.85546875" style="2" customWidth="1"/>
    <col min="79" max="79" width="17.5703125" style="2" customWidth="1"/>
    <col min="80" max="80" width="11.85546875" style="2" customWidth="1"/>
    <col min="81" max="81" width="18.7109375" style="2" customWidth="1"/>
    <col min="82" max="82" width="14.140625" style="2" customWidth="1"/>
    <col min="83" max="83" width="17.28515625" style="2" customWidth="1"/>
    <col min="84" max="84" width="14.28515625" style="2" customWidth="1"/>
    <col min="85" max="85" width="10.140625" style="2" customWidth="1"/>
    <col min="86" max="86" width="12.42578125" style="2" customWidth="1"/>
    <col min="87" max="87" width="11.42578125" style="2" customWidth="1"/>
    <col min="88" max="88" width="19" style="2" customWidth="1"/>
    <col min="89" max="90" width="14" style="2" customWidth="1"/>
    <col min="91" max="91" width="16.85546875" style="2" customWidth="1"/>
    <col min="92" max="92" width="11.140625" style="2" customWidth="1"/>
    <col min="93" max="93" width="18" style="2" customWidth="1"/>
    <col min="94" max="94" width="13.42578125" style="2" customWidth="1"/>
    <col min="95" max="95" width="16.5703125" style="2" customWidth="1"/>
    <col min="96" max="96" width="13.5703125" style="2" customWidth="1"/>
    <col min="97" max="97" width="12.7109375" style="2" customWidth="1"/>
    <col min="98" max="98" width="12.42578125" style="2" customWidth="1"/>
    <col min="99" max="99" width="11.42578125" style="3" customWidth="1"/>
    <col min="100" max="100" width="19" style="2" customWidth="1"/>
    <col min="101" max="102" width="14" style="2" customWidth="1"/>
    <col min="103" max="103" width="16.85546875" style="2" customWidth="1"/>
    <col min="104" max="104" width="11.140625" style="2" customWidth="1"/>
    <col min="105" max="105" width="18" style="2" customWidth="1"/>
    <col min="106" max="106" width="13.42578125" style="2" customWidth="1"/>
    <col min="107" max="107" width="16.5703125" style="2" customWidth="1"/>
    <col min="108" max="108" width="13.5703125" style="2" customWidth="1"/>
    <col min="109" max="109" width="13.140625" style="2" customWidth="1"/>
    <col min="110" max="110" width="12" style="4" customWidth="1"/>
    <col min="111" max="111" width="11.5703125" style="4" customWidth="1"/>
    <col min="112" max="112" width="14.85546875" style="4" customWidth="1"/>
    <col min="113" max="113" width="6" style="2" customWidth="1"/>
    <col min="114" max="114" width="12.140625" style="2" customWidth="1"/>
    <col min="115" max="115" width="24.5703125" style="2" customWidth="1"/>
    <col min="116" max="116" width="17.7109375" style="2" customWidth="1"/>
    <col min="117" max="117" width="17.28515625" style="2" customWidth="1"/>
    <col min="118" max="118" width="16.42578125" style="2" customWidth="1"/>
    <col min="119" max="119" width="25" style="2" customWidth="1"/>
    <col min="120" max="121" width="20.5703125" style="2" customWidth="1"/>
    <col min="122" max="122" width="13.85546875" style="2" customWidth="1"/>
    <col min="123" max="123" width="12.5703125" style="2" customWidth="1"/>
    <col min="124" max="1024" width="10.7109375" style="2"/>
  </cols>
  <sheetData>
    <row r="1" spans="1:136" s="5" customFormat="1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 t="s">
        <v>1</v>
      </c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1"/>
      <c r="DF1" s="131"/>
      <c r="DG1" s="131"/>
      <c r="DH1" s="131"/>
      <c r="DI1" s="131"/>
      <c r="DJ1" s="131"/>
      <c r="DK1" s="131"/>
      <c r="DL1" s="131"/>
      <c r="DM1" s="131"/>
      <c r="DN1" s="131"/>
      <c r="DO1" s="131"/>
      <c r="DP1" s="131"/>
    </row>
    <row r="2" spans="1:136" s="7" customFormat="1">
      <c r="A2" s="132" t="s">
        <v>2</v>
      </c>
      <c r="B2" s="132"/>
      <c r="C2" s="132"/>
      <c r="D2" s="132"/>
      <c r="E2" s="132"/>
      <c r="F2" s="6"/>
      <c r="G2" s="133" t="s">
        <v>3</v>
      </c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2" t="s">
        <v>4</v>
      </c>
      <c r="T2" s="132"/>
      <c r="U2" s="133" t="s">
        <v>5</v>
      </c>
      <c r="V2" s="133"/>
      <c r="W2" s="133"/>
      <c r="X2" s="133"/>
      <c r="Y2" s="133"/>
      <c r="Z2" s="133"/>
      <c r="AA2" s="132" t="s">
        <v>6</v>
      </c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3" t="s">
        <v>7</v>
      </c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4" t="s">
        <v>8</v>
      </c>
      <c r="DG2" s="134"/>
      <c r="DH2" s="134"/>
      <c r="DI2" s="133" t="s">
        <v>9</v>
      </c>
      <c r="DJ2" s="133"/>
      <c r="DK2" s="133"/>
      <c r="DL2" s="133"/>
      <c r="DM2" s="133"/>
      <c r="DN2" s="132" t="s">
        <v>10</v>
      </c>
      <c r="DO2" s="132"/>
      <c r="DP2" s="132"/>
      <c r="DQ2" s="7" t="s">
        <v>11</v>
      </c>
      <c r="DS2" s="8"/>
    </row>
    <row r="3" spans="1:136" s="10" customFormat="1">
      <c r="A3" s="9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22</v>
      </c>
      <c r="L3" s="10" t="s">
        <v>23</v>
      </c>
      <c r="M3" s="10" t="s">
        <v>24</v>
      </c>
      <c r="N3" s="10" t="s">
        <v>25</v>
      </c>
      <c r="O3" s="10" t="s">
        <v>26</v>
      </c>
      <c r="P3" s="10" t="s">
        <v>27</v>
      </c>
      <c r="Q3" s="10" t="s">
        <v>28</v>
      </c>
      <c r="R3" s="10" t="s">
        <v>29</v>
      </c>
      <c r="S3" s="10" t="s">
        <v>30</v>
      </c>
      <c r="T3" s="10" t="s">
        <v>31</v>
      </c>
      <c r="U3" s="10" t="s">
        <v>32</v>
      </c>
      <c r="V3" s="10" t="s">
        <v>33</v>
      </c>
      <c r="W3" s="10" t="s">
        <v>34</v>
      </c>
      <c r="X3" s="10" t="s">
        <v>35</v>
      </c>
      <c r="Y3" s="10" t="s">
        <v>36</v>
      </c>
      <c r="Z3" s="10" t="s">
        <v>37</v>
      </c>
      <c r="AA3" s="11" t="s">
        <v>38</v>
      </c>
      <c r="AB3" s="12" t="s">
        <v>39</v>
      </c>
      <c r="AC3" s="11" t="s">
        <v>40</v>
      </c>
      <c r="AD3" s="11" t="s">
        <v>41</v>
      </c>
      <c r="AE3" s="11" t="s">
        <v>42</v>
      </c>
      <c r="AF3" s="11" t="s">
        <v>43</v>
      </c>
      <c r="AG3" s="11" t="s">
        <v>44</v>
      </c>
      <c r="AH3" s="11" t="s">
        <v>45</v>
      </c>
      <c r="AI3" s="11" t="s">
        <v>46</v>
      </c>
      <c r="AJ3" s="11" t="s">
        <v>47</v>
      </c>
      <c r="AK3" s="11" t="s">
        <v>48</v>
      </c>
      <c r="AL3" s="11" t="s">
        <v>49</v>
      </c>
      <c r="AM3" s="11" t="s">
        <v>50</v>
      </c>
      <c r="AN3" s="11" t="s">
        <v>51</v>
      </c>
      <c r="AO3" s="11" t="s">
        <v>52</v>
      </c>
      <c r="AP3" s="11" t="s">
        <v>53</v>
      </c>
      <c r="AQ3" s="11" t="s">
        <v>54</v>
      </c>
      <c r="AR3" s="11" t="s">
        <v>55</v>
      </c>
      <c r="AS3" s="11" t="s">
        <v>56</v>
      </c>
      <c r="AT3" s="11" t="s">
        <v>57</v>
      </c>
      <c r="AU3" s="11" t="s">
        <v>58</v>
      </c>
      <c r="AV3" s="11" t="s">
        <v>59</v>
      </c>
      <c r="AW3" s="11" t="s">
        <v>60</v>
      </c>
      <c r="AX3" s="11" t="s">
        <v>61</v>
      </c>
      <c r="AY3" s="11" t="s">
        <v>62</v>
      </c>
      <c r="AZ3" s="11" t="s">
        <v>63</v>
      </c>
      <c r="BA3" s="11" t="s">
        <v>64</v>
      </c>
      <c r="BB3" s="11" t="s">
        <v>65</v>
      </c>
      <c r="BC3" s="11" t="s">
        <v>66</v>
      </c>
      <c r="BD3" s="11" t="s">
        <v>67</v>
      </c>
      <c r="BE3" s="11" t="s">
        <v>68</v>
      </c>
      <c r="BF3" s="11" t="s">
        <v>69</v>
      </c>
      <c r="BG3" s="11" t="s">
        <v>70</v>
      </c>
      <c r="BH3" s="11" t="s">
        <v>71</v>
      </c>
      <c r="BI3" s="11" t="s">
        <v>72</v>
      </c>
      <c r="BJ3" s="13" t="s">
        <v>73</v>
      </c>
      <c r="BK3" s="11" t="s">
        <v>74</v>
      </c>
      <c r="BL3" s="11" t="s">
        <v>75</v>
      </c>
      <c r="BM3" s="11" t="s">
        <v>76</v>
      </c>
      <c r="BN3" s="11" t="s">
        <v>77</v>
      </c>
      <c r="BO3" s="11" t="s">
        <v>78</v>
      </c>
      <c r="BP3" s="11" t="s">
        <v>79</v>
      </c>
      <c r="BQ3" s="11" t="s">
        <v>80</v>
      </c>
      <c r="BR3" s="11" t="s">
        <v>81</v>
      </c>
      <c r="BS3" s="11" t="s">
        <v>82</v>
      </c>
      <c r="BT3" s="11" t="s">
        <v>83</v>
      </c>
      <c r="BU3" s="11" t="s">
        <v>84</v>
      </c>
      <c r="BV3" s="13" t="s">
        <v>85</v>
      </c>
      <c r="BW3" s="11" t="s">
        <v>86</v>
      </c>
      <c r="BX3" s="11" t="s">
        <v>87</v>
      </c>
      <c r="BY3" s="11" t="s">
        <v>88</v>
      </c>
      <c r="BZ3" s="11" t="s">
        <v>89</v>
      </c>
      <c r="CA3" s="11" t="s">
        <v>90</v>
      </c>
      <c r="CB3" s="11" t="s">
        <v>91</v>
      </c>
      <c r="CC3" s="11" t="s">
        <v>92</v>
      </c>
      <c r="CD3" s="11" t="s">
        <v>93</v>
      </c>
      <c r="CE3" s="11" t="s">
        <v>94</v>
      </c>
      <c r="CF3" s="11" t="s">
        <v>95</v>
      </c>
      <c r="CG3" s="11" t="s">
        <v>96</v>
      </c>
      <c r="CH3" s="11" t="s">
        <v>97</v>
      </c>
      <c r="CI3" s="11" t="s">
        <v>98</v>
      </c>
      <c r="CJ3" s="11" t="s">
        <v>99</v>
      </c>
      <c r="CK3" s="11" t="s">
        <v>100</v>
      </c>
      <c r="CL3" s="11" t="s">
        <v>101</v>
      </c>
      <c r="CM3" s="11" t="s">
        <v>102</v>
      </c>
      <c r="CN3" s="11" t="s">
        <v>103</v>
      </c>
      <c r="CO3" s="11" t="s">
        <v>104</v>
      </c>
      <c r="CP3" s="11" t="s">
        <v>105</v>
      </c>
      <c r="CQ3" s="11" t="s">
        <v>106</v>
      </c>
      <c r="CR3" s="11" t="s">
        <v>107</v>
      </c>
      <c r="CS3" s="11" t="s">
        <v>108</v>
      </c>
      <c r="CT3" s="11" t="s">
        <v>109</v>
      </c>
      <c r="CU3" s="11" t="s">
        <v>110</v>
      </c>
      <c r="CV3" s="11" t="s">
        <v>111</v>
      </c>
      <c r="CW3" s="11" t="s">
        <v>112</v>
      </c>
      <c r="CX3" s="11" t="s">
        <v>113</v>
      </c>
      <c r="CY3" s="11" t="s">
        <v>114</v>
      </c>
      <c r="CZ3" s="11" t="s">
        <v>115</v>
      </c>
      <c r="DA3" s="11" t="s">
        <v>116</v>
      </c>
      <c r="DB3" s="11" t="s">
        <v>117</v>
      </c>
      <c r="DC3" s="11" t="s">
        <v>118</v>
      </c>
      <c r="DD3" s="11" t="s">
        <v>119</v>
      </c>
      <c r="DE3" s="11" t="s">
        <v>120</v>
      </c>
      <c r="DF3" s="14" t="s">
        <v>121</v>
      </c>
      <c r="DG3" s="14" t="s">
        <v>122</v>
      </c>
      <c r="DH3" s="14"/>
      <c r="DI3" s="10" t="s">
        <v>123</v>
      </c>
      <c r="DJ3" s="10" t="s">
        <v>124</v>
      </c>
      <c r="DK3" s="10" t="s">
        <v>125</v>
      </c>
      <c r="DL3" s="10" t="s">
        <v>126</v>
      </c>
      <c r="DM3" s="10" t="s">
        <v>127</v>
      </c>
      <c r="DN3" s="10" t="s">
        <v>128</v>
      </c>
      <c r="DO3" s="10" t="s">
        <v>129</v>
      </c>
      <c r="DP3" s="10" t="s">
        <v>130</v>
      </c>
      <c r="DQ3" s="10" t="s">
        <v>131</v>
      </c>
      <c r="DR3" s="10" t="s">
        <v>132</v>
      </c>
      <c r="DS3" s="10" t="s">
        <v>133</v>
      </c>
      <c r="DT3" s="10" t="s">
        <v>134</v>
      </c>
      <c r="DU3" s="10" t="s">
        <v>135</v>
      </c>
      <c r="DV3" s="10" t="s">
        <v>136</v>
      </c>
      <c r="DW3" s="10" t="s">
        <v>137</v>
      </c>
      <c r="DX3" s="10" t="s">
        <v>138</v>
      </c>
      <c r="DY3" s="10" t="s">
        <v>139</v>
      </c>
      <c r="DZ3" s="15" t="s">
        <v>140</v>
      </c>
      <c r="EA3" s="10" t="s">
        <v>141</v>
      </c>
      <c r="EB3" s="10" t="s">
        <v>142</v>
      </c>
      <c r="EC3" s="10" t="s">
        <v>143</v>
      </c>
      <c r="ED3" s="10" t="s">
        <v>144</v>
      </c>
      <c r="EE3" s="10" t="s">
        <v>145</v>
      </c>
      <c r="EF3" s="10" t="s">
        <v>146</v>
      </c>
    </row>
    <row r="4" spans="1:136">
      <c r="A4" s="1" t="s">
        <v>147</v>
      </c>
      <c r="B4" s="2" t="s">
        <v>148</v>
      </c>
      <c r="C4" s="2">
        <v>240821</v>
      </c>
      <c r="D4" s="2" t="s">
        <v>149</v>
      </c>
      <c r="E4" s="2" t="s">
        <v>150</v>
      </c>
      <c r="F4" s="2">
        <v>6.76</v>
      </c>
      <c r="G4" s="2">
        <v>1008.1</v>
      </c>
      <c r="H4" s="2">
        <v>25</v>
      </c>
      <c r="I4" s="2">
        <v>52.8</v>
      </c>
      <c r="J4" s="2" t="s">
        <v>151</v>
      </c>
      <c r="K4" s="2">
        <v>250</v>
      </c>
      <c r="L4" s="2" t="s">
        <v>152</v>
      </c>
      <c r="M4" s="2" t="s">
        <v>153</v>
      </c>
      <c r="N4" s="2" t="s">
        <v>154</v>
      </c>
      <c r="O4" s="2">
        <v>0.2</v>
      </c>
      <c r="P4" s="2">
        <v>26</v>
      </c>
      <c r="Q4" s="2">
        <v>0.57999999999999996</v>
      </c>
      <c r="R4" s="2">
        <v>1000000</v>
      </c>
      <c r="S4" s="2" t="s">
        <v>155</v>
      </c>
      <c r="T4" s="2" t="s">
        <v>156</v>
      </c>
      <c r="U4" s="2" t="s">
        <v>157</v>
      </c>
      <c r="V4" s="2">
        <v>1500000</v>
      </c>
      <c r="W4" s="2">
        <v>1280</v>
      </c>
      <c r="X4" s="2">
        <v>32</v>
      </c>
      <c r="Y4" s="2" t="s">
        <v>158</v>
      </c>
      <c r="Z4" s="2">
        <v>0.1</v>
      </c>
      <c r="AB4">
        <f t="shared" ref="AB4:AB39" si="0">P4</f>
        <v>26</v>
      </c>
      <c r="AE4" s="2" t="s">
        <v>159</v>
      </c>
      <c r="DQ4" s="16"/>
    </row>
    <row r="5" spans="1:136">
      <c r="A5" s="1">
        <v>1</v>
      </c>
      <c r="B5" s="2" t="s">
        <v>148</v>
      </c>
      <c r="C5" s="2">
        <v>240826</v>
      </c>
      <c r="D5" s="2" t="s">
        <v>160</v>
      </c>
      <c r="E5" s="2" t="s">
        <v>161</v>
      </c>
      <c r="F5" s="2">
        <v>6.76</v>
      </c>
      <c r="G5" s="2">
        <v>1005.5</v>
      </c>
      <c r="H5" s="2">
        <v>24.9</v>
      </c>
      <c r="I5" s="2">
        <v>56.4</v>
      </c>
      <c r="J5" s="2" t="s">
        <v>151</v>
      </c>
      <c r="K5" s="2">
        <v>121</v>
      </c>
      <c r="L5" s="2" t="s">
        <v>162</v>
      </c>
      <c r="M5" s="2" t="s">
        <v>153</v>
      </c>
      <c r="N5" s="2" t="s">
        <v>154</v>
      </c>
      <c r="O5" s="2">
        <v>0</v>
      </c>
      <c r="P5" s="2">
        <v>27</v>
      </c>
      <c r="Q5" s="2">
        <v>0.52</v>
      </c>
      <c r="R5" s="2">
        <v>1000000</v>
      </c>
      <c r="S5" s="2" t="s">
        <v>155</v>
      </c>
      <c r="T5" s="2" t="s">
        <v>163</v>
      </c>
      <c r="U5" s="2" t="s">
        <v>157</v>
      </c>
      <c r="V5" s="2">
        <v>65000</v>
      </c>
      <c r="W5" s="2">
        <v>1024</v>
      </c>
      <c r="X5" s="2">
        <v>800</v>
      </c>
      <c r="Y5" s="2">
        <v>200</v>
      </c>
      <c r="Z5" s="2">
        <v>15</v>
      </c>
      <c r="AA5" s="2">
        <v>1.01277074535796</v>
      </c>
      <c r="AB5">
        <f t="shared" si="0"/>
        <v>27</v>
      </c>
      <c r="AC5" s="2">
        <v>43.455178579334998</v>
      </c>
      <c r="AD5" s="2">
        <v>0.105274362899637</v>
      </c>
      <c r="AE5" s="2" t="s">
        <v>159</v>
      </c>
      <c r="AF5" s="2">
        <v>34.247949102160803</v>
      </c>
      <c r="AG5" s="2">
        <v>1.0303260196289601</v>
      </c>
      <c r="AH5" s="2">
        <v>1.504</v>
      </c>
      <c r="AI5" s="2">
        <v>866.55112651646402</v>
      </c>
      <c r="AJ5" s="2">
        <v>-393.88299999999998</v>
      </c>
      <c r="AK5" s="2">
        <v>0.30199999999999999</v>
      </c>
      <c r="AL5" s="17">
        <v>101827</v>
      </c>
      <c r="AM5" s="17">
        <v>300.14999999999998</v>
      </c>
      <c r="AN5" s="17">
        <v>1.1818299999999999</v>
      </c>
      <c r="AO5" s="17">
        <v>216067</v>
      </c>
      <c r="AP5" s="17">
        <v>302227</v>
      </c>
      <c r="AQ5" s="17">
        <v>287.05799999999999</v>
      </c>
      <c r="AR5" s="17">
        <v>1.39053</v>
      </c>
      <c r="AS5" s="17">
        <v>1022.1</v>
      </c>
      <c r="AT5" s="17">
        <v>346.08499999999998</v>
      </c>
      <c r="AU5" s="17">
        <v>6855.47</v>
      </c>
      <c r="AV5" s="17">
        <v>0</v>
      </c>
      <c r="AW5" s="17">
        <v>0</v>
      </c>
      <c r="AX5" s="17">
        <v>726420</v>
      </c>
      <c r="AY5" s="17">
        <v>634.226</v>
      </c>
      <c r="AZ5" s="17">
        <v>3.9900699999999998</v>
      </c>
      <c r="BA5" s="17">
        <v>462687</v>
      </c>
      <c r="BB5" s="17">
        <v>644744</v>
      </c>
      <c r="BC5" s="17">
        <v>287.05399999999997</v>
      </c>
      <c r="BD5" s="17">
        <v>1.3716299999999999</v>
      </c>
      <c r="BE5" s="17">
        <v>1059.48</v>
      </c>
      <c r="BF5" s="17">
        <v>499.76299999999998</v>
      </c>
      <c r="BG5" s="17">
        <v>7067.11</v>
      </c>
      <c r="BH5" s="17">
        <v>256.66699999999997</v>
      </c>
      <c r="BI5" s="17">
        <v>0.51357743570452397</v>
      </c>
      <c r="BJ5" s="18">
        <v>3088460</v>
      </c>
      <c r="BK5" s="17">
        <v>1002.86</v>
      </c>
      <c r="BL5" s="17">
        <v>10.7287</v>
      </c>
      <c r="BM5" s="17">
        <v>762945</v>
      </c>
      <c r="BN5" s="17">
        <v>1050810</v>
      </c>
      <c r="BO5" s="17">
        <v>287.048</v>
      </c>
      <c r="BP5" s="17">
        <v>1.3361000000000001</v>
      </c>
      <c r="BQ5" s="17">
        <v>1141.0899999999999</v>
      </c>
      <c r="BR5" s="17">
        <v>620.05600000000004</v>
      </c>
      <c r="BS5" s="17">
        <v>7155.15</v>
      </c>
      <c r="BT5" s="17">
        <v>0</v>
      </c>
      <c r="BU5" s="17">
        <v>0</v>
      </c>
      <c r="BV5" s="18">
        <v>3424800</v>
      </c>
      <c r="BW5" s="17">
        <v>1029.21</v>
      </c>
      <c r="BX5" s="17">
        <v>11.5924</v>
      </c>
      <c r="BY5" s="17">
        <v>785546</v>
      </c>
      <c r="BZ5" s="17">
        <v>1080980</v>
      </c>
      <c r="CA5" s="17">
        <v>287.048</v>
      </c>
      <c r="CB5" s="17">
        <v>1.33426</v>
      </c>
      <c r="CC5" s="17">
        <v>1145.81</v>
      </c>
      <c r="CD5" s="17">
        <v>627.69200000000001</v>
      </c>
      <c r="CE5" s="17">
        <v>7155.15</v>
      </c>
      <c r="CF5" s="17">
        <v>0</v>
      </c>
      <c r="CG5" s="17">
        <v>0</v>
      </c>
      <c r="CH5" s="17">
        <v>1839540</v>
      </c>
      <c r="CI5" s="17">
        <v>879.15800000000002</v>
      </c>
      <c r="CJ5" s="17">
        <v>7.2893100000000004</v>
      </c>
      <c r="CK5" s="17">
        <v>658750</v>
      </c>
      <c r="CL5" s="17">
        <v>911111</v>
      </c>
      <c r="CM5" s="17">
        <v>287.04899999999998</v>
      </c>
      <c r="CN5" s="17">
        <v>1.3463700000000001</v>
      </c>
      <c r="CO5" s="17">
        <v>1115.79</v>
      </c>
      <c r="CP5" s="17">
        <v>582.87099999999998</v>
      </c>
      <c r="CQ5" s="17">
        <v>7155.15</v>
      </c>
      <c r="CR5" s="17">
        <v>582.87</v>
      </c>
      <c r="CS5" s="17">
        <v>0.99999828435451399</v>
      </c>
      <c r="CT5" s="17">
        <v>869.90800000000002</v>
      </c>
      <c r="CU5" s="17">
        <v>106.754</v>
      </c>
      <c r="CV5" s="17">
        <v>2.8390100000000001E-2</v>
      </c>
      <c r="CW5" s="17">
        <v>76848.100000000006</v>
      </c>
      <c r="CX5" s="17">
        <v>107489</v>
      </c>
      <c r="CY5" s="17">
        <v>287.02800000000002</v>
      </c>
      <c r="CZ5" s="17">
        <v>1.39049</v>
      </c>
      <c r="DA5" s="17">
        <v>1022.07</v>
      </c>
      <c r="DB5" s="17">
        <v>206.398</v>
      </c>
      <c r="DC5" s="17">
        <v>7155.15</v>
      </c>
      <c r="DD5" s="17">
        <v>1395.34</v>
      </c>
      <c r="DE5" s="17">
        <v>6.76044</v>
      </c>
      <c r="DF5" s="19">
        <f t="shared" ref="DF5:DF24" si="1">CV5*DD5/(0.00001716*(CU5/273)^1.5*(273+111)/(CU5+111))</f>
        <v>5353432.5548336487</v>
      </c>
      <c r="DG5" s="19">
        <f t="shared" ref="DG5:DG24" si="2">CX5+0.5*DD5^2</f>
        <v>1080975.8577999999</v>
      </c>
      <c r="DH5" s="19"/>
      <c r="DL5" s="16"/>
      <c r="DM5" s="16"/>
      <c r="DN5" s="4"/>
      <c r="DQ5" s="16"/>
    </row>
    <row r="6" spans="1:136">
      <c r="A6" s="1">
        <v>2</v>
      </c>
      <c r="B6" s="2" t="s">
        <v>148</v>
      </c>
      <c r="C6" s="2">
        <v>240827</v>
      </c>
      <c r="D6" s="2" t="s">
        <v>160</v>
      </c>
      <c r="E6" s="2" t="s">
        <v>164</v>
      </c>
      <c r="F6" s="2">
        <v>6.76</v>
      </c>
      <c r="G6" s="2">
        <v>1006.6</v>
      </c>
      <c r="H6" s="2">
        <v>24.3</v>
      </c>
      <c r="I6" s="2">
        <v>56</v>
      </c>
      <c r="J6" s="2" t="s">
        <v>151</v>
      </c>
      <c r="K6" s="2">
        <v>155</v>
      </c>
      <c r="L6" s="2" t="s">
        <v>162</v>
      </c>
      <c r="M6" s="2" t="s">
        <v>153</v>
      </c>
      <c r="N6" s="2" t="s">
        <v>154</v>
      </c>
      <c r="O6" s="2">
        <v>0</v>
      </c>
      <c r="P6" s="2">
        <v>26</v>
      </c>
      <c r="Q6" s="2">
        <v>0.54</v>
      </c>
      <c r="R6" s="2">
        <v>1000000</v>
      </c>
      <c r="S6" s="2" t="s">
        <v>155</v>
      </c>
      <c r="T6" s="2" t="s">
        <v>163</v>
      </c>
      <c r="U6" s="2" t="s">
        <v>157</v>
      </c>
      <c r="V6" s="2">
        <v>65000</v>
      </c>
      <c r="W6" s="2">
        <v>1024</v>
      </c>
      <c r="X6" s="2">
        <v>800</v>
      </c>
      <c r="Y6" s="2">
        <v>200</v>
      </c>
      <c r="Z6" s="2">
        <v>15</v>
      </c>
      <c r="AA6" s="2">
        <v>1.01597775598903</v>
      </c>
      <c r="AB6">
        <f t="shared" si="0"/>
        <v>26</v>
      </c>
      <c r="AC6" s="2">
        <v>42.835925273147403</v>
      </c>
      <c r="AD6" s="2">
        <v>0.14952728085681499</v>
      </c>
      <c r="AE6" s="2" t="s">
        <v>159</v>
      </c>
      <c r="AF6" s="2">
        <v>32.133697081867297</v>
      </c>
      <c r="AG6" s="2">
        <v>0.81061961228142898</v>
      </c>
      <c r="AH6" s="2">
        <v>2.7280000000000002</v>
      </c>
      <c r="AI6" s="2">
        <v>897.66606822262099</v>
      </c>
      <c r="AJ6" s="2">
        <v>-992.678</v>
      </c>
      <c r="AK6" s="2">
        <v>0.29599999999999999</v>
      </c>
      <c r="AL6" s="17">
        <v>102258</v>
      </c>
      <c r="AM6" s="17">
        <v>299.14999999999998</v>
      </c>
      <c r="AN6" s="17">
        <v>1.1908000000000001</v>
      </c>
      <c r="AO6" s="17">
        <v>215347</v>
      </c>
      <c r="AP6" s="17">
        <v>301220</v>
      </c>
      <c r="AQ6" s="17">
        <v>287.05799999999999</v>
      </c>
      <c r="AR6" s="17">
        <v>1.39053</v>
      </c>
      <c r="AS6" s="17">
        <v>1022.1</v>
      </c>
      <c r="AT6" s="17">
        <v>345.50799999999998</v>
      </c>
      <c r="AU6" s="17">
        <v>6850.8</v>
      </c>
      <c r="AV6" s="17">
        <v>0</v>
      </c>
      <c r="AW6" s="17">
        <v>0</v>
      </c>
      <c r="AX6" s="17">
        <v>787109</v>
      </c>
      <c r="AY6" s="17">
        <v>659.20799999999997</v>
      </c>
      <c r="AZ6" s="17">
        <v>4.1595899999999997</v>
      </c>
      <c r="BA6" s="17">
        <v>481875</v>
      </c>
      <c r="BB6" s="17">
        <v>671103</v>
      </c>
      <c r="BC6" s="17">
        <v>287.053</v>
      </c>
      <c r="BD6" s="17">
        <v>1.36893</v>
      </c>
      <c r="BE6" s="17">
        <v>1065.1199999999999</v>
      </c>
      <c r="BF6" s="17">
        <v>508.99799999999999</v>
      </c>
      <c r="BG6" s="17">
        <v>7085.1</v>
      </c>
      <c r="BH6" s="17">
        <v>256.98200000000003</v>
      </c>
      <c r="BI6" s="17">
        <v>0.50487821170220704</v>
      </c>
      <c r="BJ6" s="18">
        <v>3467490</v>
      </c>
      <c r="BK6" s="17">
        <v>1054.72</v>
      </c>
      <c r="BL6" s="17">
        <v>11.453200000000001</v>
      </c>
      <c r="BM6" s="17">
        <v>807557</v>
      </c>
      <c r="BN6" s="17">
        <v>1110310</v>
      </c>
      <c r="BO6" s="17">
        <v>287.048</v>
      </c>
      <c r="BP6" s="17">
        <v>1.3324800000000001</v>
      </c>
      <c r="BQ6" s="17">
        <v>1150.4000000000001</v>
      </c>
      <c r="BR6" s="17">
        <v>634.97</v>
      </c>
      <c r="BS6" s="17">
        <v>7179.74</v>
      </c>
      <c r="BT6" s="17">
        <v>0</v>
      </c>
      <c r="BU6" s="17">
        <v>0</v>
      </c>
      <c r="BV6" s="18">
        <v>3213370</v>
      </c>
      <c r="BW6" s="17">
        <v>1034.8800000000001</v>
      </c>
      <c r="BX6" s="17">
        <v>10.8172</v>
      </c>
      <c r="BY6" s="17">
        <v>790429</v>
      </c>
      <c r="BZ6" s="17">
        <v>1087490</v>
      </c>
      <c r="CA6" s="17">
        <v>287.048</v>
      </c>
      <c r="CB6" s="17">
        <v>1.33386</v>
      </c>
      <c r="CC6" s="17">
        <v>1146.83</v>
      </c>
      <c r="CD6" s="17">
        <v>629.32000000000005</v>
      </c>
      <c r="CE6" s="17">
        <v>7179.74</v>
      </c>
      <c r="CF6" s="17">
        <v>0</v>
      </c>
      <c r="CG6" s="17">
        <v>0</v>
      </c>
      <c r="CH6" s="17">
        <v>1726260</v>
      </c>
      <c r="CI6" s="17">
        <v>884.16899999999998</v>
      </c>
      <c r="CJ6" s="17">
        <v>6.8016199999999998</v>
      </c>
      <c r="CK6" s="17">
        <v>662909</v>
      </c>
      <c r="CL6" s="17">
        <v>916710</v>
      </c>
      <c r="CM6" s="17">
        <v>287.05</v>
      </c>
      <c r="CN6" s="17">
        <v>1.3459300000000001</v>
      </c>
      <c r="CO6" s="17">
        <v>1116.8399999999999</v>
      </c>
      <c r="CP6" s="17">
        <v>584.43200000000002</v>
      </c>
      <c r="CQ6" s="17">
        <v>7179.74</v>
      </c>
      <c r="CR6" s="17">
        <v>584.43200000000002</v>
      </c>
      <c r="CS6" s="17">
        <v>1</v>
      </c>
      <c r="CT6" s="17">
        <v>812.93499999999995</v>
      </c>
      <c r="CU6" s="17">
        <v>107.4</v>
      </c>
      <c r="CV6" s="17">
        <v>2.63696E-2</v>
      </c>
      <c r="CW6" s="17">
        <v>77313.600000000006</v>
      </c>
      <c r="CX6" s="17">
        <v>108142</v>
      </c>
      <c r="CY6" s="17">
        <v>287.04199999999997</v>
      </c>
      <c r="CZ6" s="17">
        <v>1.3905099999999999</v>
      </c>
      <c r="DA6" s="17">
        <v>1022.09</v>
      </c>
      <c r="DB6" s="17">
        <v>207.02199999999999</v>
      </c>
      <c r="DC6" s="17">
        <v>7179.75</v>
      </c>
      <c r="DD6" s="17">
        <v>1399.53</v>
      </c>
      <c r="DE6" s="17">
        <v>6.7603</v>
      </c>
      <c r="DF6" s="19">
        <f t="shared" si="1"/>
        <v>4957097.1349464087</v>
      </c>
      <c r="DG6" s="19">
        <f t="shared" si="2"/>
        <v>1087484.11045</v>
      </c>
      <c r="DH6" s="19"/>
      <c r="DL6" s="16"/>
      <c r="DM6" s="16"/>
      <c r="DN6" s="4"/>
      <c r="DQ6" s="16"/>
    </row>
    <row r="7" spans="1:136" s="21" customFormat="1">
      <c r="A7" s="20">
        <v>3</v>
      </c>
      <c r="B7" s="21" t="s">
        <v>165</v>
      </c>
      <c r="C7" s="21">
        <v>240902</v>
      </c>
      <c r="D7" s="21" t="s">
        <v>149</v>
      </c>
      <c r="E7" s="21" t="s">
        <v>150</v>
      </c>
      <c r="F7" s="2">
        <v>6.76</v>
      </c>
      <c r="G7" s="21">
        <v>1008.6</v>
      </c>
      <c r="H7" s="21">
        <v>24.4</v>
      </c>
      <c r="I7" s="21">
        <v>50.6</v>
      </c>
      <c r="J7" s="21" t="s">
        <v>151</v>
      </c>
      <c r="K7" s="21">
        <v>200</v>
      </c>
      <c r="L7" s="21" t="s">
        <v>166</v>
      </c>
      <c r="M7" s="21" t="s">
        <v>153</v>
      </c>
      <c r="N7" s="21" t="s">
        <v>154</v>
      </c>
      <c r="O7" s="21">
        <v>0.2</v>
      </c>
      <c r="P7" s="21">
        <v>26</v>
      </c>
      <c r="Q7" s="21">
        <v>0.67</v>
      </c>
      <c r="R7" s="21">
        <v>1000000</v>
      </c>
      <c r="S7" s="21" t="s">
        <v>155</v>
      </c>
      <c r="T7" s="21" t="s">
        <v>167</v>
      </c>
      <c r="U7" s="21" t="s">
        <v>157</v>
      </c>
      <c r="V7" s="21">
        <v>1500000</v>
      </c>
      <c r="W7" s="21">
        <v>1280</v>
      </c>
      <c r="X7" s="21">
        <v>32</v>
      </c>
      <c r="Y7" s="21" t="s">
        <v>158</v>
      </c>
      <c r="Z7" s="21">
        <v>9.5000000000000001E-2</v>
      </c>
      <c r="AA7" s="21">
        <v>1.2038975860826</v>
      </c>
      <c r="AB7" s="21">
        <f t="shared" si="0"/>
        <v>26</v>
      </c>
      <c r="AC7" s="21">
        <v>118.008519033247</v>
      </c>
      <c r="AD7" s="21">
        <v>0.100505809841654</v>
      </c>
      <c r="AE7" s="2" t="s">
        <v>159</v>
      </c>
      <c r="AF7" s="21">
        <v>85.801437723616004</v>
      </c>
      <c r="AG7" s="21">
        <v>2.58071014715469</v>
      </c>
      <c r="AH7" s="21">
        <v>3.0670000000000002</v>
      </c>
      <c r="AI7" s="21">
        <v>1116.07142857143</v>
      </c>
      <c r="AJ7" s="21">
        <v>-127.374</v>
      </c>
      <c r="AK7" s="21">
        <v>0.29899999999999999</v>
      </c>
      <c r="AL7" s="17">
        <v>121250</v>
      </c>
      <c r="AM7" s="17">
        <v>299.14999999999998</v>
      </c>
      <c r="AN7" s="17">
        <v>1.4119699999999999</v>
      </c>
      <c r="AO7" s="17">
        <v>215347</v>
      </c>
      <c r="AP7" s="17">
        <v>301220</v>
      </c>
      <c r="AQ7" s="17">
        <v>287.05500000000001</v>
      </c>
      <c r="AR7" s="17">
        <v>1.39053</v>
      </c>
      <c r="AS7" s="17">
        <v>1022.1</v>
      </c>
      <c r="AT7" s="17">
        <v>345.50799999999998</v>
      </c>
      <c r="AU7" s="17">
        <v>6802.07</v>
      </c>
      <c r="AV7" s="17">
        <v>0</v>
      </c>
      <c r="AW7" s="17">
        <v>0</v>
      </c>
      <c r="AX7" s="17">
        <v>1460860</v>
      </c>
      <c r="AY7" s="17">
        <v>859.01</v>
      </c>
      <c r="AZ7" s="17">
        <v>5.9245200000000002</v>
      </c>
      <c r="BA7" s="17">
        <v>642073</v>
      </c>
      <c r="BB7" s="17">
        <v>888652</v>
      </c>
      <c r="BC7" s="17">
        <v>287.05</v>
      </c>
      <c r="BD7" s="17">
        <v>1.3481399999999999</v>
      </c>
      <c r="BE7" s="17">
        <v>1111.57</v>
      </c>
      <c r="BF7" s="17">
        <v>576.53599999999994</v>
      </c>
      <c r="BG7" s="17">
        <v>7195.52</v>
      </c>
      <c r="BH7" s="17">
        <v>265.99</v>
      </c>
      <c r="BI7" s="17">
        <v>0.46135887438078499</v>
      </c>
      <c r="BJ7" s="18">
        <v>7754160</v>
      </c>
      <c r="BK7" s="17">
        <v>1457.97</v>
      </c>
      <c r="BL7" s="17">
        <v>18.528500000000001</v>
      </c>
      <c r="BM7" s="17">
        <v>1171100</v>
      </c>
      <c r="BN7" s="17">
        <v>1589600</v>
      </c>
      <c r="BO7" s="17">
        <v>287.04199999999997</v>
      </c>
      <c r="BP7" s="17">
        <v>1.3122400000000001</v>
      </c>
      <c r="BQ7" s="17">
        <v>1206.3399999999999</v>
      </c>
      <c r="BR7" s="17">
        <v>739.471</v>
      </c>
      <c r="BS7" s="17">
        <v>7333.05</v>
      </c>
      <c r="BT7" s="17">
        <v>0</v>
      </c>
      <c r="BU7" s="17">
        <v>0</v>
      </c>
      <c r="BV7" s="18">
        <v>8580140</v>
      </c>
      <c r="BW7" s="17">
        <v>1492.94</v>
      </c>
      <c r="BX7" s="17">
        <v>20.022300000000001</v>
      </c>
      <c r="BY7" s="17">
        <v>1203940</v>
      </c>
      <c r="BZ7" s="17">
        <v>1632470</v>
      </c>
      <c r="CA7" s="17">
        <v>287.03800000000001</v>
      </c>
      <c r="CB7" s="17">
        <v>1.3109900000000001</v>
      </c>
      <c r="CC7" s="17">
        <v>1210.01</v>
      </c>
      <c r="CD7" s="17">
        <v>747.73599999999999</v>
      </c>
      <c r="CE7" s="17">
        <v>7333.05</v>
      </c>
      <c r="CF7" s="17">
        <v>0</v>
      </c>
      <c r="CG7" s="17">
        <v>0</v>
      </c>
      <c r="CH7" s="17">
        <v>4655310</v>
      </c>
      <c r="CI7" s="17">
        <v>1291.5999999999999</v>
      </c>
      <c r="CJ7" s="17">
        <v>12.5565</v>
      </c>
      <c r="CK7" s="17">
        <v>1017740</v>
      </c>
      <c r="CL7" s="17">
        <v>1388490</v>
      </c>
      <c r="CM7" s="17">
        <v>287.04899999999998</v>
      </c>
      <c r="CN7" s="17">
        <v>1.3189900000000001</v>
      </c>
      <c r="CO7" s="17">
        <v>1186.9000000000001</v>
      </c>
      <c r="CP7" s="17">
        <v>698.54600000000005</v>
      </c>
      <c r="CQ7" s="17">
        <v>7333.05</v>
      </c>
      <c r="CR7" s="17">
        <v>698.54499999999996</v>
      </c>
      <c r="CS7" s="17">
        <v>0.99999856845504798</v>
      </c>
      <c r="CT7" s="17">
        <v>2056.91</v>
      </c>
      <c r="CU7" s="17">
        <v>161.232</v>
      </c>
      <c r="CV7" s="17">
        <v>4.4444400000000002E-2</v>
      </c>
      <c r="CW7" s="17">
        <v>116065</v>
      </c>
      <c r="CX7" s="17">
        <v>162345</v>
      </c>
      <c r="CY7" s="17">
        <v>287.04300000000001</v>
      </c>
      <c r="CZ7" s="17">
        <v>1.3905099999999999</v>
      </c>
      <c r="DA7" s="17">
        <v>1022.09</v>
      </c>
      <c r="DB7" s="17">
        <v>253.65299999999999</v>
      </c>
      <c r="DC7" s="17">
        <v>7333.06</v>
      </c>
      <c r="DD7" s="17">
        <v>1714.72</v>
      </c>
      <c r="DE7" s="17">
        <v>6.7600800000000003</v>
      </c>
      <c r="DF7" s="22">
        <f t="shared" si="1"/>
        <v>6936941.5567032751</v>
      </c>
      <c r="DG7" s="22">
        <f t="shared" si="2"/>
        <v>1632477.3392</v>
      </c>
      <c r="DH7" s="22"/>
      <c r="DI7" s="21">
        <v>203</v>
      </c>
      <c r="DJ7" s="21" t="s">
        <v>168</v>
      </c>
      <c r="DK7" s="21">
        <v>1808</v>
      </c>
      <c r="DL7" s="23">
        <f t="shared" ref="DL7:DL16" si="3">DK7+AK7/1000*V7</f>
        <v>2256.5</v>
      </c>
      <c r="DM7" s="23">
        <f t="shared" ref="DM7:DM16" si="4">DL7+AH7/1000*V7</f>
        <v>6857</v>
      </c>
      <c r="DN7" s="24">
        <v>1.1419800000000001E-4</v>
      </c>
      <c r="DO7" s="21">
        <v>0.14937298108306299</v>
      </c>
      <c r="DP7" s="21">
        <v>0.29554676609395197</v>
      </c>
      <c r="DQ7" s="23"/>
      <c r="DS7" s="24"/>
      <c r="DU7" s="2">
        <v>5.9179945199999997</v>
      </c>
      <c r="DV7" s="2">
        <f t="shared" ref="DV7:DV17" si="5">1.74191876*CV7</f>
        <v>7.7418534136943995E-2</v>
      </c>
      <c r="DW7" s="2">
        <f t="shared" ref="DW7:DW17" si="6">CU7*1.26753763</f>
        <v>204.36762716016003</v>
      </c>
      <c r="DX7" s="2">
        <f t="shared" ref="DX7:DX17" si="7">DB7*( 1.26753763)^0.5</f>
        <v>285.57516330513164</v>
      </c>
      <c r="DY7" s="2">
        <f t="shared" ref="DY7:DY17" si="8">DX7*DU7</f>
        <v>1690.032251487874</v>
      </c>
      <c r="DZ7" s="19">
        <f t="shared" ref="DZ7:DZ17" si="9">DV7*DY7/(0.00001716*(DW7/273)^1.5*(273+111)/(DW7+111))</f>
        <v>9667949.1134733558</v>
      </c>
      <c r="EA7" s="2">
        <v>5.7739619199999996</v>
      </c>
      <c r="EB7" s="2">
        <f t="shared" ref="EB7:EB17" si="10">1.84577946*CV7</f>
        <v>8.2034560632023995E-2</v>
      </c>
      <c r="EC7" s="2">
        <f t="shared" ref="EC7:EC17" si="11">CU7* 1.32339182</f>
        <v>213.37310992224002</v>
      </c>
      <c r="ED7" s="2">
        <f t="shared" ref="ED7:ED17" si="12">DB7*( 1.32339182)^0.5</f>
        <v>291.79928682391147</v>
      </c>
      <c r="EE7" s="2">
        <f t="shared" ref="EE7:EE17" si="13">ED7*EA7</f>
        <v>1684.8379704044225</v>
      </c>
      <c r="EF7" s="19">
        <f t="shared" ref="EF7:EF17" si="14">EB7*EE7/(0.00001716*(EC7/273)^1.5*(273+111)/(EC7+111))</f>
        <v>9846588.1786626037</v>
      </c>
    </row>
    <row r="8" spans="1:136" s="21" customFormat="1">
      <c r="A8" s="20">
        <v>4</v>
      </c>
      <c r="B8" s="21" t="s">
        <v>148</v>
      </c>
      <c r="C8" s="21">
        <v>240904</v>
      </c>
      <c r="D8" s="21" t="s">
        <v>149</v>
      </c>
      <c r="E8" s="21" t="s">
        <v>150</v>
      </c>
      <c r="F8" s="2">
        <v>6.76</v>
      </c>
      <c r="G8" s="21">
        <v>1009.9</v>
      </c>
      <c r="H8" s="21">
        <v>24.2</v>
      </c>
      <c r="I8" s="21">
        <v>51.5</v>
      </c>
      <c r="J8" s="21" t="s">
        <v>151</v>
      </c>
      <c r="K8" s="21">
        <v>267</v>
      </c>
      <c r="L8" s="21" t="s">
        <v>169</v>
      </c>
      <c r="M8" s="21" t="s">
        <v>153</v>
      </c>
      <c r="N8" s="21" t="s">
        <v>154</v>
      </c>
      <c r="O8" s="21">
        <v>0.2</v>
      </c>
      <c r="P8" s="21">
        <v>27</v>
      </c>
      <c r="Q8" s="21">
        <v>0.61</v>
      </c>
      <c r="R8" s="21">
        <v>1000000</v>
      </c>
      <c r="S8" s="21" t="s">
        <v>155</v>
      </c>
      <c r="T8" s="21" t="s">
        <v>170</v>
      </c>
      <c r="U8" s="21" t="s">
        <v>157</v>
      </c>
      <c r="V8" s="21">
        <v>1500000</v>
      </c>
      <c r="W8" s="21">
        <v>1280</v>
      </c>
      <c r="X8" s="21">
        <v>32</v>
      </c>
      <c r="Y8" s="21" t="s">
        <v>158</v>
      </c>
      <c r="Z8" s="21">
        <v>9.5000000000000001E-2</v>
      </c>
      <c r="AA8" s="25">
        <v>1.2075350046589799</v>
      </c>
      <c r="AB8" s="21">
        <f t="shared" si="0"/>
        <v>27</v>
      </c>
      <c r="AC8" s="25">
        <v>118.48750150578</v>
      </c>
      <c r="AD8" s="25">
        <v>0.109052469643161</v>
      </c>
      <c r="AE8" s="2" t="s">
        <v>159</v>
      </c>
      <c r="AF8" s="25">
        <v>86.458537810804501</v>
      </c>
      <c r="AG8" s="25">
        <v>2.6009487353324698</v>
      </c>
      <c r="AH8" s="25">
        <v>2.895</v>
      </c>
      <c r="AI8" s="25">
        <v>1121.07623318386</v>
      </c>
      <c r="AJ8" s="25">
        <v>-417.86700000000002</v>
      </c>
      <c r="AK8" s="25">
        <v>0.36199999999999999</v>
      </c>
      <c r="AL8" s="17">
        <v>121744</v>
      </c>
      <c r="AM8" s="17">
        <v>300.14999999999998</v>
      </c>
      <c r="AN8" s="17">
        <v>1.413</v>
      </c>
      <c r="AO8" s="17">
        <v>216067</v>
      </c>
      <c r="AP8" s="17">
        <v>302227</v>
      </c>
      <c r="AQ8" s="17">
        <v>287.05500000000001</v>
      </c>
      <c r="AR8" s="17">
        <v>1.39053</v>
      </c>
      <c r="AS8" s="17">
        <v>1022.1</v>
      </c>
      <c r="AT8" s="17">
        <v>346.08499999999998</v>
      </c>
      <c r="AU8" s="17">
        <v>6804.36</v>
      </c>
      <c r="AV8" s="17">
        <v>0</v>
      </c>
      <c r="AW8" s="17">
        <v>0</v>
      </c>
      <c r="AX8" s="17">
        <v>1475420</v>
      </c>
      <c r="AY8" s="17">
        <v>864.81399999999996</v>
      </c>
      <c r="AZ8" s="17">
        <v>5.9433800000000003</v>
      </c>
      <c r="BA8" s="17">
        <v>646869</v>
      </c>
      <c r="BB8" s="17">
        <v>895114</v>
      </c>
      <c r="BC8" s="17">
        <v>287.05</v>
      </c>
      <c r="BD8" s="17">
        <v>1.3476300000000001</v>
      </c>
      <c r="BE8" s="17">
        <v>1112.78</v>
      </c>
      <c r="BF8" s="17">
        <v>578.37</v>
      </c>
      <c r="BG8" s="17">
        <v>7200.15</v>
      </c>
      <c r="BH8" s="17">
        <v>266.52800000000002</v>
      </c>
      <c r="BI8" s="17">
        <v>0.46082611477082203</v>
      </c>
      <c r="BJ8" s="18">
        <v>7849720</v>
      </c>
      <c r="BK8" s="17">
        <v>1468.53</v>
      </c>
      <c r="BL8" s="17">
        <v>18.6221</v>
      </c>
      <c r="BM8" s="17">
        <v>1180990</v>
      </c>
      <c r="BN8" s="17">
        <v>1602520</v>
      </c>
      <c r="BO8" s="17">
        <v>287.041</v>
      </c>
      <c r="BP8" s="17">
        <v>1.31186</v>
      </c>
      <c r="BQ8" s="17">
        <v>1207.44</v>
      </c>
      <c r="BR8" s="17">
        <v>741.97900000000004</v>
      </c>
      <c r="BS8" s="17">
        <v>7338.36</v>
      </c>
      <c r="BT8" s="17">
        <v>0</v>
      </c>
      <c r="BU8" s="17">
        <v>0</v>
      </c>
      <c r="BV8" s="18">
        <v>8645850</v>
      </c>
      <c r="BW8" s="17">
        <v>1502.06</v>
      </c>
      <c r="BX8" s="17">
        <v>20.053100000000001</v>
      </c>
      <c r="BY8" s="17">
        <v>1212550</v>
      </c>
      <c r="BZ8" s="17">
        <v>1643700</v>
      </c>
      <c r="CA8" s="17">
        <v>287.03699999999998</v>
      </c>
      <c r="CB8" s="17">
        <v>1.31067</v>
      </c>
      <c r="CC8" s="17">
        <v>1210.97</v>
      </c>
      <c r="CD8" s="17">
        <v>749.87199999999996</v>
      </c>
      <c r="CE8" s="17">
        <v>7338.36</v>
      </c>
      <c r="CF8" s="17">
        <v>0</v>
      </c>
      <c r="CG8" s="17">
        <v>0</v>
      </c>
      <c r="CH8" s="17">
        <v>4691630</v>
      </c>
      <c r="CI8" s="17">
        <v>1299.78</v>
      </c>
      <c r="CJ8" s="17">
        <v>12.5748</v>
      </c>
      <c r="CK8" s="17">
        <v>1025160</v>
      </c>
      <c r="CL8" s="17">
        <v>1398260</v>
      </c>
      <c r="CM8" s="17">
        <v>287.04899999999998</v>
      </c>
      <c r="CN8" s="17">
        <v>1.31864</v>
      </c>
      <c r="CO8" s="17">
        <v>1187.9000000000001</v>
      </c>
      <c r="CP8" s="17">
        <v>700.62800000000004</v>
      </c>
      <c r="CQ8" s="17">
        <v>7338.36</v>
      </c>
      <c r="CR8" s="17">
        <v>700.62699999999995</v>
      </c>
      <c r="CS8" s="17">
        <v>0.99999857270905501</v>
      </c>
      <c r="CT8" s="17">
        <v>2068.9899999999998</v>
      </c>
      <c r="CU8" s="17">
        <v>162.32499999999999</v>
      </c>
      <c r="CV8" s="17">
        <v>4.44045E-2</v>
      </c>
      <c r="CW8" s="17">
        <v>116852</v>
      </c>
      <c r="CX8" s="17">
        <v>163446</v>
      </c>
      <c r="CY8" s="17">
        <v>287.04300000000001</v>
      </c>
      <c r="CZ8" s="17">
        <v>1.3905099999999999</v>
      </c>
      <c r="DA8" s="17">
        <v>1022.09</v>
      </c>
      <c r="DB8" s="17">
        <v>254.512</v>
      </c>
      <c r="DC8" s="17">
        <v>7338.36</v>
      </c>
      <c r="DD8" s="17">
        <v>1720.61</v>
      </c>
      <c r="DE8" s="17">
        <v>6.76044</v>
      </c>
      <c r="DF8" s="22">
        <f t="shared" si="1"/>
        <v>6912038.1897694189</v>
      </c>
      <c r="DG8" s="22">
        <f t="shared" si="2"/>
        <v>1643695.3860499999</v>
      </c>
      <c r="DH8" s="22"/>
      <c r="DI8" s="21">
        <v>206</v>
      </c>
      <c r="DJ8" s="21" t="s">
        <v>168</v>
      </c>
      <c r="DK8" s="21">
        <v>798</v>
      </c>
      <c r="DL8" s="23">
        <f t="shared" si="3"/>
        <v>1341</v>
      </c>
      <c r="DM8" s="23">
        <f t="shared" si="4"/>
        <v>5683.5</v>
      </c>
      <c r="DN8" s="24">
        <v>1.15469944380804E-4</v>
      </c>
      <c r="DO8" s="21">
        <v>0.25</v>
      </c>
      <c r="DP8" s="21">
        <v>0.39780152880742897</v>
      </c>
      <c r="DQ8" s="23"/>
      <c r="DU8" s="2">
        <v>5.9179945199999997</v>
      </c>
      <c r="DV8" s="2">
        <f t="shared" si="5"/>
        <v>7.7349031578419991E-2</v>
      </c>
      <c r="DW8" s="2">
        <f t="shared" si="6"/>
        <v>205.75304578974999</v>
      </c>
      <c r="DX8" s="2">
        <f t="shared" si="7"/>
        <v>286.54226822909908</v>
      </c>
      <c r="DY8" s="2">
        <f t="shared" si="8"/>
        <v>1695.7555731281784</v>
      </c>
      <c r="DZ8" s="19">
        <f t="shared" si="9"/>
        <v>9636403.7221393567</v>
      </c>
      <c r="EA8" s="2">
        <v>5.7739619199999996</v>
      </c>
      <c r="EB8" s="2">
        <f t="shared" si="10"/>
        <v>8.1960914031569992E-2</v>
      </c>
      <c r="EC8" s="2">
        <f t="shared" si="11"/>
        <v>214.81957718149999</v>
      </c>
      <c r="ED8" s="2">
        <f t="shared" si="12"/>
        <v>292.78746984316115</v>
      </c>
      <c r="EE8" s="2">
        <f t="shared" si="13"/>
        <v>1690.5437015275606</v>
      </c>
      <c r="EF8" s="19">
        <f t="shared" si="14"/>
        <v>9815107.2000120431</v>
      </c>
    </row>
    <row r="9" spans="1:136" s="21" customFormat="1">
      <c r="A9" s="20">
        <v>5</v>
      </c>
      <c r="B9" s="21" t="s">
        <v>148</v>
      </c>
      <c r="C9" s="21">
        <v>240904</v>
      </c>
      <c r="D9" s="21" t="s">
        <v>149</v>
      </c>
      <c r="E9" s="21" t="s">
        <v>150</v>
      </c>
      <c r="F9" s="2">
        <v>6.76</v>
      </c>
      <c r="G9" s="21">
        <v>1007</v>
      </c>
      <c r="H9" s="21">
        <v>25</v>
      </c>
      <c r="I9" s="21">
        <v>48.1</v>
      </c>
      <c r="J9" s="21" t="s">
        <v>151</v>
      </c>
      <c r="K9" s="21">
        <v>215</v>
      </c>
      <c r="L9" s="21" t="s">
        <v>171</v>
      </c>
      <c r="M9" s="21" t="s">
        <v>153</v>
      </c>
      <c r="N9" s="21" t="s">
        <v>154</v>
      </c>
      <c r="O9" s="21">
        <v>0.2</v>
      </c>
      <c r="P9" s="21">
        <v>27</v>
      </c>
      <c r="Q9" s="21">
        <v>0.8</v>
      </c>
      <c r="R9" s="21">
        <v>1000000</v>
      </c>
      <c r="S9" s="21" t="s">
        <v>155</v>
      </c>
      <c r="T9" s="21" t="s">
        <v>172</v>
      </c>
      <c r="U9" s="21" t="s">
        <v>157</v>
      </c>
      <c r="V9" s="21">
        <v>1500000</v>
      </c>
      <c r="W9" s="21">
        <v>1280</v>
      </c>
      <c r="X9" s="21">
        <v>32</v>
      </c>
      <c r="Y9" s="21" t="s">
        <v>158</v>
      </c>
      <c r="Z9" s="21">
        <v>9.5000000000000001E-2</v>
      </c>
      <c r="AA9" s="25">
        <v>1.2076183371121101</v>
      </c>
      <c r="AB9" s="21">
        <f t="shared" si="0"/>
        <v>27</v>
      </c>
      <c r="AC9" s="25">
        <v>120.33535760247</v>
      </c>
      <c r="AD9" s="25">
        <v>6.0224093677285803E-2</v>
      </c>
      <c r="AE9" s="2" t="s">
        <v>159</v>
      </c>
      <c r="AF9" s="25">
        <v>86.914016571820099</v>
      </c>
      <c r="AG9" s="25">
        <v>2.6103841838847499</v>
      </c>
      <c r="AH9" s="25">
        <v>3.0150000000000001</v>
      </c>
      <c r="AI9" s="25">
        <v>1128.6681715575601</v>
      </c>
      <c r="AJ9" s="25">
        <v>-170.46700000000001</v>
      </c>
      <c r="AK9" s="25">
        <v>0.32300000000000001</v>
      </c>
      <c r="AL9" s="17">
        <v>121462</v>
      </c>
      <c r="AM9" s="17">
        <v>300.14999999999998</v>
      </c>
      <c r="AN9" s="17">
        <v>1.4097299999999999</v>
      </c>
      <c r="AO9" s="17">
        <v>216067</v>
      </c>
      <c r="AP9" s="17">
        <v>302227</v>
      </c>
      <c r="AQ9" s="17">
        <v>287.05500000000001</v>
      </c>
      <c r="AR9" s="17">
        <v>1.39053</v>
      </c>
      <c r="AS9" s="17">
        <v>1022.1</v>
      </c>
      <c r="AT9" s="17">
        <v>346.08499999999998</v>
      </c>
      <c r="AU9" s="17">
        <v>6805.02</v>
      </c>
      <c r="AV9" s="17">
        <v>0</v>
      </c>
      <c r="AW9" s="17">
        <v>0</v>
      </c>
      <c r="AX9" s="17">
        <v>1492550</v>
      </c>
      <c r="AY9" s="17">
        <v>872.37400000000002</v>
      </c>
      <c r="AZ9" s="17">
        <v>5.9603000000000002</v>
      </c>
      <c r="BA9" s="17">
        <v>653125</v>
      </c>
      <c r="BB9" s="17">
        <v>903541</v>
      </c>
      <c r="BC9" s="17">
        <v>287.05099999999999</v>
      </c>
      <c r="BD9" s="17">
        <v>1.34697</v>
      </c>
      <c r="BE9" s="17">
        <v>1114.3699999999999</v>
      </c>
      <c r="BF9" s="17">
        <v>580.74800000000005</v>
      </c>
      <c r="BG9" s="17">
        <v>7206.53</v>
      </c>
      <c r="BH9" s="17">
        <v>266.95299999999997</v>
      </c>
      <c r="BI9" s="17">
        <v>0.45967097605157498</v>
      </c>
      <c r="BJ9" s="18">
        <v>7981740</v>
      </c>
      <c r="BK9" s="17">
        <v>1483.62</v>
      </c>
      <c r="BL9" s="17">
        <v>18.742699999999999</v>
      </c>
      <c r="BM9" s="17">
        <v>1195160</v>
      </c>
      <c r="BN9" s="17">
        <v>1621020</v>
      </c>
      <c r="BO9" s="17">
        <v>287.04000000000002</v>
      </c>
      <c r="BP9" s="17">
        <v>1.3113300000000001</v>
      </c>
      <c r="BQ9" s="17">
        <v>1209.03</v>
      </c>
      <c r="BR9" s="17">
        <v>745.54399999999998</v>
      </c>
      <c r="BS9" s="17">
        <v>7346.11</v>
      </c>
      <c r="BT9" s="17">
        <v>0</v>
      </c>
      <c r="BU9" s="17">
        <v>0</v>
      </c>
      <c r="BV9" s="18">
        <v>8691400</v>
      </c>
      <c r="BW9" s="17">
        <v>1513.38</v>
      </c>
      <c r="BX9" s="17">
        <v>20.007999999999999</v>
      </c>
      <c r="BY9" s="17">
        <v>1223260</v>
      </c>
      <c r="BZ9" s="17">
        <v>1657650</v>
      </c>
      <c r="CA9" s="17">
        <v>287.03699999999998</v>
      </c>
      <c r="CB9" s="17">
        <v>1.31027</v>
      </c>
      <c r="CC9" s="17">
        <v>1212.17</v>
      </c>
      <c r="CD9" s="17">
        <v>752.51099999999997</v>
      </c>
      <c r="CE9" s="17">
        <v>7346.11</v>
      </c>
      <c r="CF9" s="17">
        <v>0</v>
      </c>
      <c r="CG9" s="17">
        <v>0</v>
      </c>
      <c r="CH9" s="17">
        <v>4717190</v>
      </c>
      <c r="CI9" s="17">
        <v>1309.94</v>
      </c>
      <c r="CJ9" s="17">
        <v>12.545199999999999</v>
      </c>
      <c r="CK9" s="17">
        <v>1034390</v>
      </c>
      <c r="CL9" s="17">
        <v>1410410</v>
      </c>
      <c r="CM9" s="17">
        <v>287.048</v>
      </c>
      <c r="CN9" s="17">
        <v>1.3182</v>
      </c>
      <c r="CO9" s="17">
        <v>1189.1500000000001</v>
      </c>
      <c r="CP9" s="17">
        <v>703.2</v>
      </c>
      <c r="CQ9" s="17">
        <v>7346.11</v>
      </c>
      <c r="CR9" s="17">
        <v>703.2</v>
      </c>
      <c r="CS9" s="17">
        <v>1</v>
      </c>
      <c r="CT9" s="17">
        <v>2076.1</v>
      </c>
      <c r="CU9" s="17">
        <v>163.70099999999999</v>
      </c>
      <c r="CV9" s="17">
        <v>4.4182399999999997E-2</v>
      </c>
      <c r="CW9" s="17">
        <v>117843</v>
      </c>
      <c r="CX9" s="17">
        <v>164832</v>
      </c>
      <c r="CY9" s="17">
        <v>287.04300000000001</v>
      </c>
      <c r="CZ9" s="17">
        <v>1.3905099999999999</v>
      </c>
      <c r="DA9" s="17">
        <v>1022.09</v>
      </c>
      <c r="DB9" s="17">
        <v>255.589</v>
      </c>
      <c r="DC9" s="17">
        <v>7346.11</v>
      </c>
      <c r="DD9" s="17">
        <v>1727.9</v>
      </c>
      <c r="DE9" s="17">
        <v>6.7604800000000003</v>
      </c>
      <c r="DF9" s="22">
        <f t="shared" si="1"/>
        <v>6854039.6473706383</v>
      </c>
      <c r="DG9" s="22">
        <f t="shared" si="2"/>
        <v>1657651.2050000001</v>
      </c>
      <c r="DH9" s="22"/>
      <c r="DI9" s="21">
        <v>210</v>
      </c>
      <c r="DJ9" s="21" t="s">
        <v>168</v>
      </c>
      <c r="DK9" s="21">
        <v>1100</v>
      </c>
      <c r="DL9" s="23">
        <f t="shared" si="3"/>
        <v>1584.5</v>
      </c>
      <c r="DM9" s="23">
        <f t="shared" si="4"/>
        <v>6107.0000000000009</v>
      </c>
      <c r="DN9" s="24">
        <v>1.15271E-4</v>
      </c>
      <c r="DO9" s="21">
        <v>0.350332278481013</v>
      </c>
      <c r="DP9" s="21">
        <v>0.497879746835443</v>
      </c>
      <c r="DQ9" s="23"/>
      <c r="DU9" s="2">
        <v>5.9179945199999997</v>
      </c>
      <c r="DV9" s="2">
        <f t="shared" si="5"/>
        <v>7.6962151421823985E-2</v>
      </c>
      <c r="DW9" s="2">
        <f t="shared" si="6"/>
        <v>207.49717756863001</v>
      </c>
      <c r="DX9" s="2">
        <f t="shared" si="7"/>
        <v>287.75480839570321</v>
      </c>
      <c r="DY9" s="2">
        <f t="shared" si="8"/>
        <v>1702.9313791894215</v>
      </c>
      <c r="DZ9" s="19">
        <f t="shared" si="9"/>
        <v>9559982.7344526816</v>
      </c>
      <c r="EA9" s="2">
        <v>5.7739619199999996</v>
      </c>
      <c r="EB9" s="2">
        <f t="shared" si="10"/>
        <v>8.1550966413503997E-2</v>
      </c>
      <c r="EC9" s="2">
        <f t="shared" si="11"/>
        <v>216.64056432582001</v>
      </c>
      <c r="ED9" s="2">
        <f t="shared" si="12"/>
        <v>294.02643737719131</v>
      </c>
      <c r="EE9" s="2">
        <f t="shared" si="13"/>
        <v>1697.6974528891672</v>
      </c>
      <c r="EF9" s="19">
        <f t="shared" si="14"/>
        <v>9738069.4958983473</v>
      </c>
    </row>
    <row r="10" spans="1:136" s="21" customFormat="1">
      <c r="A10" s="20">
        <v>6</v>
      </c>
      <c r="B10" s="21" t="s">
        <v>173</v>
      </c>
      <c r="C10" s="21">
        <v>240905</v>
      </c>
      <c r="D10" s="21" t="s">
        <v>174</v>
      </c>
      <c r="E10" s="21" t="s">
        <v>150</v>
      </c>
      <c r="F10" s="2">
        <v>6.76</v>
      </c>
      <c r="G10" s="21">
        <v>1008</v>
      </c>
      <c r="H10" s="21">
        <v>24.2</v>
      </c>
      <c r="I10" s="21">
        <v>50.9</v>
      </c>
      <c r="J10" s="21" t="s">
        <v>151</v>
      </c>
      <c r="K10" s="21">
        <v>240</v>
      </c>
      <c r="L10" s="21" t="s">
        <v>175</v>
      </c>
      <c r="M10" s="21" t="s">
        <v>153</v>
      </c>
      <c r="N10" s="21" t="s">
        <v>154</v>
      </c>
      <c r="O10" s="21">
        <v>0.2</v>
      </c>
      <c r="P10" s="21">
        <v>26</v>
      </c>
      <c r="Q10" s="21">
        <v>0.69</v>
      </c>
      <c r="R10" s="21">
        <v>1000000</v>
      </c>
      <c r="S10" s="21" t="s">
        <v>155</v>
      </c>
      <c r="T10" s="21" t="s">
        <v>172</v>
      </c>
      <c r="U10" s="21" t="s">
        <v>157</v>
      </c>
      <c r="V10" s="21">
        <v>1500000</v>
      </c>
      <c r="W10" s="21">
        <v>1280</v>
      </c>
      <c r="X10" s="21">
        <v>32</v>
      </c>
      <c r="Y10" s="21" t="s">
        <v>158</v>
      </c>
      <c r="Z10" s="21">
        <v>9.5000000000000001E-2</v>
      </c>
      <c r="AA10" s="25">
        <v>1.20607282081333</v>
      </c>
      <c r="AB10" s="21">
        <f t="shared" si="0"/>
        <v>26</v>
      </c>
      <c r="AC10" s="25">
        <v>119.969720467717</v>
      </c>
      <c r="AD10" s="25">
        <v>5.1932025614448298E-2</v>
      </c>
      <c r="AE10" s="2" t="s">
        <v>159</v>
      </c>
      <c r="AF10" s="25">
        <v>86.734358977582303</v>
      </c>
      <c r="AG10" s="25">
        <v>2.6100664675630498</v>
      </c>
      <c r="AH10" s="25">
        <v>3.0030000000000001</v>
      </c>
      <c r="AI10" s="25">
        <v>1121.07623318386</v>
      </c>
      <c r="AJ10" s="25">
        <v>0.78500000000000003</v>
      </c>
      <c r="AK10" s="25">
        <v>0.33400000000000002</v>
      </c>
      <c r="AL10" s="17">
        <v>121407</v>
      </c>
      <c r="AM10" s="17">
        <v>299.14999999999998</v>
      </c>
      <c r="AN10" s="17">
        <v>1.41381</v>
      </c>
      <c r="AO10" s="17">
        <v>215347</v>
      </c>
      <c r="AP10" s="17">
        <v>301220</v>
      </c>
      <c r="AQ10" s="17">
        <v>287.05500000000001</v>
      </c>
      <c r="AR10" s="17">
        <v>1.39053</v>
      </c>
      <c r="AS10" s="17">
        <v>1022.1</v>
      </c>
      <c r="AT10" s="17">
        <v>345.50799999999998</v>
      </c>
      <c r="AU10" s="17">
        <v>6801.7</v>
      </c>
      <c r="AV10" s="17">
        <v>0</v>
      </c>
      <c r="AW10" s="17">
        <v>0</v>
      </c>
      <c r="AX10" s="17">
        <v>1476270</v>
      </c>
      <c r="AY10" s="17">
        <v>863.97299999999996</v>
      </c>
      <c r="AZ10" s="17">
        <v>5.9526000000000003</v>
      </c>
      <c r="BA10" s="17">
        <v>646173</v>
      </c>
      <c r="BB10" s="17">
        <v>894176</v>
      </c>
      <c r="BC10" s="17">
        <v>287.05</v>
      </c>
      <c r="BD10" s="17">
        <v>1.34771</v>
      </c>
      <c r="BE10" s="17">
        <v>1112.6099999999999</v>
      </c>
      <c r="BF10" s="17">
        <v>578.10500000000002</v>
      </c>
      <c r="BG10" s="17">
        <v>7198.91</v>
      </c>
      <c r="BH10" s="17">
        <v>266.26799999999997</v>
      </c>
      <c r="BI10" s="17">
        <v>0.46058760951730199</v>
      </c>
      <c r="BJ10" s="18">
        <v>7862740</v>
      </c>
      <c r="BK10" s="17">
        <v>1467.89</v>
      </c>
      <c r="BL10" s="17">
        <v>18.661000000000001</v>
      </c>
      <c r="BM10" s="17">
        <v>1180390</v>
      </c>
      <c r="BN10" s="17">
        <v>1601740</v>
      </c>
      <c r="BO10" s="17">
        <v>287.041</v>
      </c>
      <c r="BP10" s="17">
        <v>1.31189</v>
      </c>
      <c r="BQ10" s="17">
        <v>1207.3800000000001</v>
      </c>
      <c r="BR10" s="17">
        <v>741.82799999999997</v>
      </c>
      <c r="BS10" s="17">
        <v>7337.35</v>
      </c>
      <c r="BT10" s="17">
        <v>0</v>
      </c>
      <c r="BU10" s="17">
        <v>0</v>
      </c>
      <c r="BV10" s="18">
        <v>8673440</v>
      </c>
      <c r="BW10" s="17">
        <v>1501.95</v>
      </c>
      <c r="BX10" s="17">
        <v>20.118600000000001</v>
      </c>
      <c r="BY10" s="17">
        <v>1212450</v>
      </c>
      <c r="BZ10" s="17">
        <v>1643560</v>
      </c>
      <c r="CA10" s="17">
        <v>287.03699999999998</v>
      </c>
      <c r="CB10" s="17">
        <v>1.31067</v>
      </c>
      <c r="CC10" s="17">
        <v>1210.96</v>
      </c>
      <c r="CD10" s="17">
        <v>749.846</v>
      </c>
      <c r="CE10" s="17">
        <v>7337.35</v>
      </c>
      <c r="CF10" s="17">
        <v>0</v>
      </c>
      <c r="CG10" s="17">
        <v>0</v>
      </c>
      <c r="CH10" s="17">
        <v>4706590</v>
      </c>
      <c r="CI10" s="17">
        <v>1299.68</v>
      </c>
      <c r="CJ10" s="17">
        <v>12.6158</v>
      </c>
      <c r="CK10" s="17">
        <v>1025070</v>
      </c>
      <c r="CL10" s="17">
        <v>1398140</v>
      </c>
      <c r="CM10" s="17">
        <v>287.048</v>
      </c>
      <c r="CN10" s="17">
        <v>1.31864</v>
      </c>
      <c r="CO10" s="17">
        <v>1187.8900000000001</v>
      </c>
      <c r="CP10" s="17">
        <v>700.60199999999998</v>
      </c>
      <c r="CQ10" s="17">
        <v>7337.35</v>
      </c>
      <c r="CR10" s="17">
        <v>700.60199999999998</v>
      </c>
      <c r="CS10" s="17">
        <v>1</v>
      </c>
      <c r="CT10" s="17">
        <v>2075.5700000000002</v>
      </c>
      <c r="CU10" s="17">
        <v>162.31</v>
      </c>
      <c r="CV10" s="17">
        <v>4.4549699999999998E-2</v>
      </c>
      <c r="CW10" s="17">
        <v>116841</v>
      </c>
      <c r="CX10" s="17">
        <v>163431</v>
      </c>
      <c r="CY10" s="17">
        <v>287.04300000000001</v>
      </c>
      <c r="CZ10" s="17">
        <v>1.3905099999999999</v>
      </c>
      <c r="DA10" s="17">
        <v>1022.09</v>
      </c>
      <c r="DB10" s="17">
        <v>254.5</v>
      </c>
      <c r="DC10" s="17">
        <v>7337.36</v>
      </c>
      <c r="DD10" s="17">
        <v>1720.54</v>
      </c>
      <c r="DE10" s="17">
        <v>6.7604699999999998</v>
      </c>
      <c r="DF10" s="22">
        <f t="shared" si="1"/>
        <v>6934938.6879939539</v>
      </c>
      <c r="DG10" s="22">
        <f t="shared" si="2"/>
        <v>1643559.9457999999</v>
      </c>
      <c r="DH10" s="22"/>
      <c r="DI10" s="21">
        <v>213</v>
      </c>
      <c r="DJ10" s="21" t="s">
        <v>168</v>
      </c>
      <c r="DK10" s="21">
        <v>1693</v>
      </c>
      <c r="DL10" s="23">
        <f t="shared" si="3"/>
        <v>2194</v>
      </c>
      <c r="DM10" s="23">
        <f t="shared" si="4"/>
        <v>6698.5</v>
      </c>
      <c r="DN10" s="24">
        <v>1.15029E-4</v>
      </c>
      <c r="DO10" s="21">
        <v>0.35728122851889799</v>
      </c>
      <c r="DP10" s="21">
        <v>0.50451807062416099</v>
      </c>
      <c r="DQ10" s="23"/>
      <c r="DU10" s="2">
        <v>5.9179945199999997</v>
      </c>
      <c r="DV10" s="2">
        <f t="shared" si="5"/>
        <v>7.7601958182371991E-2</v>
      </c>
      <c r="DW10" s="2">
        <f t="shared" si="6"/>
        <v>205.73403272530001</v>
      </c>
      <c r="DX10" s="2">
        <f t="shared" si="7"/>
        <v>286.52875803225669</v>
      </c>
      <c r="DY10" s="2">
        <f t="shared" si="8"/>
        <v>1695.6756198573009</v>
      </c>
      <c r="DZ10" s="19">
        <f t="shared" si="9"/>
        <v>9668218.1406613197</v>
      </c>
      <c r="EA10" s="2">
        <v>5.7739619199999996</v>
      </c>
      <c r="EB10" s="2">
        <f t="shared" si="10"/>
        <v>8.222892120916199E-2</v>
      </c>
      <c r="EC10" s="2">
        <f t="shared" si="11"/>
        <v>214.79972630420002</v>
      </c>
      <c r="ED10" s="2">
        <f t="shared" si="12"/>
        <v>292.77366519097137</v>
      </c>
      <c r="EE10" s="2">
        <f t="shared" si="13"/>
        <v>1690.4639939914982</v>
      </c>
      <c r="EF10" s="19">
        <f t="shared" si="14"/>
        <v>9847502.7308383342</v>
      </c>
    </row>
    <row r="11" spans="1:136" s="21" customFormat="1">
      <c r="A11" s="20">
        <v>7</v>
      </c>
      <c r="B11" s="21" t="s">
        <v>173</v>
      </c>
      <c r="C11" s="21">
        <v>240905</v>
      </c>
      <c r="D11" s="21" t="s">
        <v>174</v>
      </c>
      <c r="E11" s="21" t="s">
        <v>150</v>
      </c>
      <c r="F11" s="2">
        <v>6.76</v>
      </c>
      <c r="G11" s="21">
        <v>1008</v>
      </c>
      <c r="H11" s="21">
        <v>24.6</v>
      </c>
      <c r="I11" s="21">
        <v>53.3</v>
      </c>
      <c r="J11" s="21" t="s">
        <v>151</v>
      </c>
      <c r="K11" s="21">
        <v>200</v>
      </c>
      <c r="L11" s="21" t="s">
        <v>176</v>
      </c>
      <c r="M11" s="21" t="s">
        <v>153</v>
      </c>
      <c r="N11" s="21" t="s">
        <v>154</v>
      </c>
      <c r="O11" s="21">
        <v>0.2</v>
      </c>
      <c r="P11" s="21">
        <v>26</v>
      </c>
      <c r="Q11" s="21">
        <v>0.73</v>
      </c>
      <c r="R11" s="21">
        <v>1000000</v>
      </c>
      <c r="S11" s="21" t="s">
        <v>155</v>
      </c>
      <c r="T11" s="21" t="s">
        <v>167</v>
      </c>
      <c r="U11" s="21" t="s">
        <v>157</v>
      </c>
      <c r="V11" s="21">
        <v>1500000</v>
      </c>
      <c r="W11" s="21">
        <v>1280</v>
      </c>
      <c r="X11" s="21">
        <v>32</v>
      </c>
      <c r="Y11" s="21" t="s">
        <v>158</v>
      </c>
      <c r="Z11" s="21">
        <v>9.5000000000000001E-2</v>
      </c>
      <c r="AA11" s="25">
        <v>1.20607282081333</v>
      </c>
      <c r="AB11" s="21">
        <f t="shared" si="0"/>
        <v>26</v>
      </c>
      <c r="AC11" s="25">
        <v>119.969720467717</v>
      </c>
      <c r="AD11" s="25">
        <v>5.1932025614448298E-2</v>
      </c>
      <c r="AE11" s="2" t="s">
        <v>159</v>
      </c>
      <c r="AF11" s="25">
        <v>86.734358977582303</v>
      </c>
      <c r="AG11" s="25">
        <v>2.6100664675630498</v>
      </c>
      <c r="AH11" s="25">
        <v>3.0030000000000001</v>
      </c>
      <c r="AI11" s="25">
        <v>1121.07623318386</v>
      </c>
      <c r="AJ11" s="25">
        <v>0.78500000000000003</v>
      </c>
      <c r="AK11" s="25">
        <v>0.33400000000000002</v>
      </c>
      <c r="AL11" s="17">
        <v>121407</v>
      </c>
      <c r="AM11" s="17">
        <v>299.14999999999998</v>
      </c>
      <c r="AN11" s="17">
        <v>1.41381</v>
      </c>
      <c r="AO11" s="17">
        <v>215347</v>
      </c>
      <c r="AP11" s="17">
        <v>301220</v>
      </c>
      <c r="AQ11" s="17">
        <v>287.05500000000001</v>
      </c>
      <c r="AR11" s="17">
        <v>1.39053</v>
      </c>
      <c r="AS11" s="17">
        <v>1022.1</v>
      </c>
      <c r="AT11" s="17">
        <v>345.50799999999998</v>
      </c>
      <c r="AU11" s="17">
        <v>6801.7</v>
      </c>
      <c r="AV11" s="17">
        <v>0</v>
      </c>
      <c r="AW11" s="17">
        <v>0</v>
      </c>
      <c r="AX11" s="17">
        <v>1476270</v>
      </c>
      <c r="AY11" s="17">
        <v>863.97299999999996</v>
      </c>
      <c r="AZ11" s="17">
        <v>5.9526000000000003</v>
      </c>
      <c r="BA11" s="17">
        <v>646173</v>
      </c>
      <c r="BB11" s="17">
        <v>894176</v>
      </c>
      <c r="BC11" s="17">
        <v>287.05</v>
      </c>
      <c r="BD11" s="17">
        <v>1.34771</v>
      </c>
      <c r="BE11" s="17">
        <v>1112.6099999999999</v>
      </c>
      <c r="BF11" s="17">
        <v>578.10500000000002</v>
      </c>
      <c r="BG11" s="17">
        <v>7198.91</v>
      </c>
      <c r="BH11" s="17">
        <v>266.26799999999997</v>
      </c>
      <c r="BI11" s="17">
        <v>0.46058760951730199</v>
      </c>
      <c r="BJ11" s="18">
        <v>7862740</v>
      </c>
      <c r="BK11" s="17">
        <v>1467.89</v>
      </c>
      <c r="BL11" s="17">
        <v>18.661000000000001</v>
      </c>
      <c r="BM11" s="17">
        <v>1180390</v>
      </c>
      <c r="BN11" s="17">
        <v>1601740</v>
      </c>
      <c r="BO11" s="17">
        <v>287.041</v>
      </c>
      <c r="BP11" s="17">
        <v>1.31189</v>
      </c>
      <c r="BQ11" s="17">
        <v>1207.3800000000001</v>
      </c>
      <c r="BR11" s="17">
        <v>741.82799999999997</v>
      </c>
      <c r="BS11" s="17">
        <v>7337.35</v>
      </c>
      <c r="BT11" s="17">
        <v>0</v>
      </c>
      <c r="BU11" s="17">
        <v>0</v>
      </c>
      <c r="BV11" s="18">
        <v>8673440</v>
      </c>
      <c r="BW11" s="17">
        <v>1501.95</v>
      </c>
      <c r="BX11" s="17">
        <v>20.118600000000001</v>
      </c>
      <c r="BY11" s="17">
        <v>1212450</v>
      </c>
      <c r="BZ11" s="17">
        <v>1643560</v>
      </c>
      <c r="CA11" s="17">
        <v>287.03699999999998</v>
      </c>
      <c r="CB11" s="17">
        <v>1.31067</v>
      </c>
      <c r="CC11" s="17">
        <v>1210.96</v>
      </c>
      <c r="CD11" s="17">
        <v>749.846</v>
      </c>
      <c r="CE11" s="17">
        <v>7337.35</v>
      </c>
      <c r="CF11" s="17">
        <v>0</v>
      </c>
      <c r="CG11" s="17">
        <v>0</v>
      </c>
      <c r="CH11" s="17">
        <v>4706590</v>
      </c>
      <c r="CI11" s="17">
        <v>1299.68</v>
      </c>
      <c r="CJ11" s="17">
        <v>12.6158</v>
      </c>
      <c r="CK11" s="17">
        <v>1025070</v>
      </c>
      <c r="CL11" s="17">
        <v>1398140</v>
      </c>
      <c r="CM11" s="17">
        <v>287.048</v>
      </c>
      <c r="CN11" s="17">
        <v>1.31864</v>
      </c>
      <c r="CO11" s="17">
        <v>1187.8900000000001</v>
      </c>
      <c r="CP11" s="17">
        <v>700.60199999999998</v>
      </c>
      <c r="CQ11" s="17">
        <v>7337.35</v>
      </c>
      <c r="CR11" s="17">
        <v>700.60199999999998</v>
      </c>
      <c r="CS11" s="17">
        <v>1</v>
      </c>
      <c r="CT11" s="17">
        <v>2075.5700000000002</v>
      </c>
      <c r="CU11" s="17">
        <v>162.31</v>
      </c>
      <c r="CV11" s="17">
        <v>4.4549699999999998E-2</v>
      </c>
      <c r="CW11" s="17">
        <v>116841</v>
      </c>
      <c r="CX11" s="17">
        <v>163431</v>
      </c>
      <c r="CY11" s="17">
        <v>287.04300000000001</v>
      </c>
      <c r="CZ11" s="17">
        <v>1.3905099999999999</v>
      </c>
      <c r="DA11" s="17">
        <v>1022.09</v>
      </c>
      <c r="DB11" s="17">
        <v>254.5</v>
      </c>
      <c r="DC11" s="17">
        <v>7337.36</v>
      </c>
      <c r="DD11" s="17">
        <v>1720.54</v>
      </c>
      <c r="DE11" s="17">
        <v>6.7604699999999998</v>
      </c>
      <c r="DF11" s="22">
        <f t="shared" si="1"/>
        <v>6934938.6879939539</v>
      </c>
      <c r="DG11" s="22">
        <f t="shared" si="2"/>
        <v>1643559.9457999999</v>
      </c>
      <c r="DH11" s="22"/>
      <c r="DI11" s="21">
        <v>216</v>
      </c>
      <c r="DJ11" s="21" t="s">
        <v>168</v>
      </c>
      <c r="DK11" s="21">
        <v>1243</v>
      </c>
      <c r="DL11" s="23">
        <f t="shared" si="3"/>
        <v>1744</v>
      </c>
      <c r="DM11" s="23">
        <f t="shared" si="4"/>
        <v>6248.5</v>
      </c>
      <c r="DN11" s="24">
        <v>1.1505E-4</v>
      </c>
      <c r="DO11" s="21">
        <v>0.153281139463773</v>
      </c>
      <c r="DP11" s="21">
        <v>0.300545662870428</v>
      </c>
      <c r="DQ11" s="23"/>
      <c r="DU11" s="2">
        <v>5.9179945199999997</v>
      </c>
      <c r="DV11" s="2">
        <f t="shared" si="5"/>
        <v>7.7601958182371991E-2</v>
      </c>
      <c r="DW11" s="2">
        <f t="shared" si="6"/>
        <v>205.73403272530001</v>
      </c>
      <c r="DX11" s="2">
        <f t="shared" si="7"/>
        <v>286.52875803225669</v>
      </c>
      <c r="DY11" s="2">
        <f t="shared" si="8"/>
        <v>1695.6756198573009</v>
      </c>
      <c r="DZ11" s="19">
        <f t="shared" si="9"/>
        <v>9668218.1406613197</v>
      </c>
      <c r="EA11" s="2">
        <v>5.7739619199999996</v>
      </c>
      <c r="EB11" s="2">
        <f t="shared" si="10"/>
        <v>8.222892120916199E-2</v>
      </c>
      <c r="EC11" s="2">
        <f t="shared" si="11"/>
        <v>214.79972630420002</v>
      </c>
      <c r="ED11" s="2">
        <f t="shared" si="12"/>
        <v>292.77366519097137</v>
      </c>
      <c r="EE11" s="2">
        <f t="shared" si="13"/>
        <v>1690.4639939914982</v>
      </c>
      <c r="EF11" s="19">
        <f t="shared" si="14"/>
        <v>9847502.7308383342</v>
      </c>
    </row>
    <row r="12" spans="1:136" s="21" customFormat="1">
      <c r="A12" s="20">
        <v>8</v>
      </c>
      <c r="B12" s="21" t="s">
        <v>173</v>
      </c>
      <c r="C12" s="21">
        <v>240906</v>
      </c>
      <c r="D12" s="21" t="s">
        <v>174</v>
      </c>
      <c r="E12" s="21" t="s">
        <v>150</v>
      </c>
      <c r="F12" s="2">
        <v>6.76</v>
      </c>
      <c r="G12" s="21">
        <v>1011.1</v>
      </c>
      <c r="H12" s="21">
        <v>24.2</v>
      </c>
      <c r="I12" s="21">
        <v>54.6</v>
      </c>
      <c r="J12" s="21" t="s">
        <v>151</v>
      </c>
      <c r="K12" s="21">
        <v>200</v>
      </c>
      <c r="L12" s="21" t="s">
        <v>177</v>
      </c>
      <c r="M12" s="21" t="s">
        <v>153</v>
      </c>
      <c r="N12" s="21" t="s">
        <v>154</v>
      </c>
      <c r="O12" s="21">
        <v>0.2</v>
      </c>
      <c r="P12" s="21">
        <v>26</v>
      </c>
      <c r="Q12" s="21">
        <v>0.72</v>
      </c>
      <c r="R12" s="21">
        <v>1000000</v>
      </c>
      <c r="S12" s="21" t="s">
        <v>155</v>
      </c>
      <c r="T12" s="21" t="s">
        <v>170</v>
      </c>
      <c r="U12" s="21" t="s">
        <v>157</v>
      </c>
      <c r="V12" s="21">
        <v>1500000</v>
      </c>
      <c r="W12" s="21">
        <v>1280</v>
      </c>
      <c r="X12" s="21">
        <v>32</v>
      </c>
      <c r="Y12" s="21" t="s">
        <v>158</v>
      </c>
      <c r="Z12" s="21">
        <v>9.5000000000000001E-2</v>
      </c>
      <c r="AA12" s="25">
        <v>1.20508056326323</v>
      </c>
      <c r="AB12" s="21">
        <f t="shared" si="0"/>
        <v>26</v>
      </c>
      <c r="AC12" s="25">
        <v>119.346843210546</v>
      </c>
      <c r="AD12" s="25">
        <v>6.5436835098810694E-2</v>
      </c>
      <c r="AE12" s="2" t="s">
        <v>159</v>
      </c>
      <c r="AF12" s="25">
        <v>86.771399675600605</v>
      </c>
      <c r="AG12" s="25">
        <v>2.61064457823761</v>
      </c>
      <c r="AH12" s="25">
        <v>2.8690000000000002</v>
      </c>
      <c r="AI12" s="25">
        <v>1118.56823266219</v>
      </c>
      <c r="AJ12" s="25">
        <v>0.79100000000000004</v>
      </c>
      <c r="AK12" s="25">
        <v>0.313</v>
      </c>
      <c r="AL12" s="17">
        <v>121618</v>
      </c>
      <c r="AM12" s="17">
        <v>299.14999999999998</v>
      </c>
      <c r="AN12" s="17">
        <v>1.4162600000000001</v>
      </c>
      <c r="AO12" s="17">
        <v>215347</v>
      </c>
      <c r="AP12" s="17">
        <v>301220</v>
      </c>
      <c r="AQ12" s="17">
        <v>287.05500000000001</v>
      </c>
      <c r="AR12" s="17">
        <v>1.39053</v>
      </c>
      <c r="AS12" s="17">
        <v>1022.1</v>
      </c>
      <c r="AT12" s="17">
        <v>345.50799999999998</v>
      </c>
      <c r="AU12" s="17">
        <v>6801.21</v>
      </c>
      <c r="AV12" s="17">
        <v>0</v>
      </c>
      <c r="AW12" s="17">
        <v>0</v>
      </c>
      <c r="AX12" s="17">
        <v>1472040</v>
      </c>
      <c r="AY12" s="17">
        <v>861.48400000000004</v>
      </c>
      <c r="AZ12" s="17">
        <v>5.9527200000000002</v>
      </c>
      <c r="BA12" s="17">
        <v>644116</v>
      </c>
      <c r="BB12" s="17">
        <v>891405</v>
      </c>
      <c r="BC12" s="17">
        <v>287.05</v>
      </c>
      <c r="BD12" s="17">
        <v>1.34792</v>
      </c>
      <c r="BE12" s="17">
        <v>1112.0899999999999</v>
      </c>
      <c r="BF12" s="17">
        <v>577.31899999999996</v>
      </c>
      <c r="BG12" s="17">
        <v>7196.52</v>
      </c>
      <c r="BH12" s="17">
        <v>266.12799999999999</v>
      </c>
      <c r="BI12" s="17">
        <v>0.460972183489544</v>
      </c>
      <c r="BJ12" s="18">
        <v>7826870</v>
      </c>
      <c r="BK12" s="17">
        <v>1462.92</v>
      </c>
      <c r="BL12" s="17">
        <v>18.638999999999999</v>
      </c>
      <c r="BM12" s="17">
        <v>1175730</v>
      </c>
      <c r="BN12" s="17">
        <v>1595650</v>
      </c>
      <c r="BO12" s="17">
        <v>287.04199999999997</v>
      </c>
      <c r="BP12" s="17">
        <v>1.31206</v>
      </c>
      <c r="BQ12" s="17">
        <v>1206.8599999999999</v>
      </c>
      <c r="BR12" s="17">
        <v>740.64800000000002</v>
      </c>
      <c r="BS12" s="17">
        <v>7334.51</v>
      </c>
      <c r="BT12" s="17">
        <v>0</v>
      </c>
      <c r="BU12" s="17">
        <v>0</v>
      </c>
      <c r="BV12" s="18">
        <v>8677140</v>
      </c>
      <c r="BW12" s="17">
        <v>1498.64</v>
      </c>
      <c r="BX12" s="17">
        <v>20.171600000000002</v>
      </c>
      <c r="BY12" s="17">
        <v>1209320</v>
      </c>
      <c r="BZ12" s="17">
        <v>1639480</v>
      </c>
      <c r="CA12" s="17">
        <v>287.03800000000001</v>
      </c>
      <c r="CB12" s="17">
        <v>1.3107899999999999</v>
      </c>
      <c r="CC12" s="17">
        <v>1210.6099999999999</v>
      </c>
      <c r="CD12" s="17">
        <v>749.072</v>
      </c>
      <c r="CE12" s="17">
        <v>7334.51</v>
      </c>
      <c r="CF12" s="17">
        <v>0</v>
      </c>
      <c r="CG12" s="17">
        <v>0</v>
      </c>
      <c r="CH12" s="17">
        <v>4708350</v>
      </c>
      <c r="CI12" s="17">
        <v>1296.71</v>
      </c>
      <c r="CJ12" s="17">
        <v>12.6494</v>
      </c>
      <c r="CK12" s="17">
        <v>1022370</v>
      </c>
      <c r="CL12" s="17">
        <v>1394590</v>
      </c>
      <c r="CM12" s="17">
        <v>287.048</v>
      </c>
      <c r="CN12" s="17">
        <v>1.31877</v>
      </c>
      <c r="CO12" s="17">
        <v>1187.53</v>
      </c>
      <c r="CP12" s="17">
        <v>699.84799999999996</v>
      </c>
      <c r="CQ12" s="17">
        <v>7334.51</v>
      </c>
      <c r="CR12" s="17">
        <v>699.84699999999998</v>
      </c>
      <c r="CS12" s="17">
        <v>0.99999857111830004</v>
      </c>
      <c r="CT12" s="17">
        <v>2078.41</v>
      </c>
      <c r="CU12" s="17">
        <v>161.92599999999999</v>
      </c>
      <c r="CV12" s="17">
        <v>4.47163E-2</v>
      </c>
      <c r="CW12" s="17">
        <v>116565</v>
      </c>
      <c r="CX12" s="17">
        <v>163045</v>
      </c>
      <c r="CY12" s="17">
        <v>287.04300000000001</v>
      </c>
      <c r="CZ12" s="17">
        <v>1.3905099999999999</v>
      </c>
      <c r="DA12" s="17">
        <v>1022.09</v>
      </c>
      <c r="DB12" s="17">
        <v>254.19900000000001</v>
      </c>
      <c r="DC12" s="17">
        <v>7334.52</v>
      </c>
      <c r="DD12" s="17">
        <v>1718.39</v>
      </c>
      <c r="DE12" s="17">
        <v>6.7600300000000004</v>
      </c>
      <c r="DF12" s="22">
        <f t="shared" si="1"/>
        <v>6967116.7642139355</v>
      </c>
      <c r="DG12" s="22">
        <f t="shared" si="2"/>
        <v>1639477.0960500003</v>
      </c>
      <c r="DH12" s="22"/>
      <c r="DI12" s="21">
        <v>219</v>
      </c>
      <c r="DJ12" s="21" t="s">
        <v>168</v>
      </c>
      <c r="DK12" s="21">
        <v>829</v>
      </c>
      <c r="DL12" s="23">
        <f t="shared" si="3"/>
        <v>1298.5</v>
      </c>
      <c r="DM12" s="23">
        <f t="shared" si="4"/>
        <v>5602</v>
      </c>
      <c r="DN12" s="24">
        <v>1.15277E-4</v>
      </c>
      <c r="DO12" s="21">
        <v>0.25326224410772302</v>
      </c>
      <c r="DP12" s="21">
        <v>0.400816496307137</v>
      </c>
      <c r="DQ12" s="23"/>
      <c r="DU12" s="2">
        <v>5.9179945199999997</v>
      </c>
      <c r="DV12" s="2">
        <f t="shared" si="5"/>
        <v>7.7892161847787994E-2</v>
      </c>
      <c r="DW12" s="2">
        <f t="shared" si="6"/>
        <v>205.24729827537999</v>
      </c>
      <c r="DX12" s="2">
        <f t="shared" si="7"/>
        <v>286.1898772614602</v>
      </c>
      <c r="DY12" s="2">
        <f t="shared" si="8"/>
        <v>1693.670125312794</v>
      </c>
      <c r="DZ12" s="19">
        <f t="shared" si="9"/>
        <v>9712447.7997308392</v>
      </c>
      <c r="EA12" s="2">
        <v>5.7739619199999996</v>
      </c>
      <c r="EB12" s="2">
        <f t="shared" si="10"/>
        <v>8.2536428067197992E-2</v>
      </c>
      <c r="EC12" s="2">
        <f t="shared" si="11"/>
        <v>214.29154384532001</v>
      </c>
      <c r="ED12" s="2">
        <f t="shared" si="12"/>
        <v>292.42739849854513</v>
      </c>
      <c r="EE12" s="2">
        <f t="shared" si="13"/>
        <v>1688.4646632952647</v>
      </c>
      <c r="EF12" s="19">
        <f t="shared" si="14"/>
        <v>9892323.990333518</v>
      </c>
    </row>
    <row r="13" spans="1:136" s="21" customFormat="1">
      <c r="A13" s="20">
        <v>9</v>
      </c>
      <c r="B13" s="21" t="s">
        <v>173</v>
      </c>
      <c r="C13" s="21">
        <v>240906</v>
      </c>
      <c r="D13" s="21" t="s">
        <v>160</v>
      </c>
      <c r="E13" s="21" t="s">
        <v>150</v>
      </c>
      <c r="F13" s="2">
        <v>6.76</v>
      </c>
      <c r="G13" s="21">
        <v>1011.1</v>
      </c>
      <c r="H13" s="21">
        <v>24.2</v>
      </c>
      <c r="I13" s="21">
        <v>52.1</v>
      </c>
      <c r="J13" s="21" t="s">
        <v>151</v>
      </c>
      <c r="K13" s="21">
        <v>220</v>
      </c>
      <c r="L13" s="21" t="s">
        <v>178</v>
      </c>
      <c r="M13" s="21" t="s">
        <v>153</v>
      </c>
      <c r="N13" s="21" t="s">
        <v>154</v>
      </c>
      <c r="O13" s="21">
        <v>0.2</v>
      </c>
      <c r="P13" s="21">
        <v>26</v>
      </c>
      <c r="Q13" s="21">
        <v>0.7</v>
      </c>
      <c r="R13" s="21">
        <v>1000000</v>
      </c>
      <c r="S13" s="21" t="s">
        <v>155</v>
      </c>
      <c r="T13" s="21" t="s">
        <v>172</v>
      </c>
      <c r="U13" s="21" t="s">
        <v>157</v>
      </c>
      <c r="V13" s="21">
        <v>1500000</v>
      </c>
      <c r="W13" s="21">
        <v>1280</v>
      </c>
      <c r="X13" s="21">
        <v>32</v>
      </c>
      <c r="Y13" s="21" t="s">
        <v>158</v>
      </c>
      <c r="Z13" s="21">
        <v>9.5000000000000001E-2</v>
      </c>
      <c r="AA13" s="25">
        <v>1.20769136039794</v>
      </c>
      <c r="AB13" s="21">
        <f t="shared" si="0"/>
        <v>26</v>
      </c>
      <c r="AC13" s="25">
        <v>120.949270048196</v>
      </c>
      <c r="AD13" s="25">
        <v>5.7908080723904097E-2</v>
      </c>
      <c r="AE13" s="2" t="s">
        <v>159</v>
      </c>
      <c r="AF13" s="25">
        <v>87.460089905175295</v>
      </c>
      <c r="AG13" s="25">
        <v>2.6304629579721701</v>
      </c>
      <c r="AH13" s="25">
        <v>3.0590000000000002</v>
      </c>
      <c r="AI13" s="25">
        <v>1121.07623318386</v>
      </c>
      <c r="AJ13" s="25">
        <v>-405.06</v>
      </c>
      <c r="AK13" s="25">
        <v>0.30299999999999999</v>
      </c>
      <c r="AL13" s="17">
        <v>121879</v>
      </c>
      <c r="AM13" s="17">
        <v>299.14999999999998</v>
      </c>
      <c r="AN13" s="17">
        <v>1.4193</v>
      </c>
      <c r="AO13" s="17">
        <v>215347</v>
      </c>
      <c r="AP13" s="17">
        <v>301220</v>
      </c>
      <c r="AQ13" s="17">
        <v>287.05500000000001</v>
      </c>
      <c r="AR13" s="17">
        <v>1.39053</v>
      </c>
      <c r="AS13" s="17">
        <v>1022.1</v>
      </c>
      <c r="AT13" s="17">
        <v>345.50799999999998</v>
      </c>
      <c r="AU13" s="17">
        <v>6800.59</v>
      </c>
      <c r="AV13" s="17">
        <v>0</v>
      </c>
      <c r="AW13" s="17">
        <v>0</v>
      </c>
      <c r="AX13" s="17">
        <v>1482010</v>
      </c>
      <c r="AY13" s="17">
        <v>863.97299999999996</v>
      </c>
      <c r="AZ13" s="17">
        <v>5.9757400000000001</v>
      </c>
      <c r="BA13" s="17">
        <v>646173</v>
      </c>
      <c r="BB13" s="17">
        <v>894176</v>
      </c>
      <c r="BC13" s="17">
        <v>287.05</v>
      </c>
      <c r="BD13" s="17">
        <v>1.34771</v>
      </c>
      <c r="BE13" s="17">
        <v>1112.6099999999999</v>
      </c>
      <c r="BF13" s="17">
        <v>578.10500000000002</v>
      </c>
      <c r="BG13" s="17">
        <v>7197.79</v>
      </c>
      <c r="BH13" s="17">
        <v>266.26799999999997</v>
      </c>
      <c r="BI13" s="17">
        <v>0.46058760951730199</v>
      </c>
      <c r="BJ13" s="18">
        <v>7893310</v>
      </c>
      <c r="BK13" s="17">
        <v>1467.89</v>
      </c>
      <c r="BL13" s="17">
        <v>18.733599999999999</v>
      </c>
      <c r="BM13" s="17">
        <v>1180390</v>
      </c>
      <c r="BN13" s="17">
        <v>1601740</v>
      </c>
      <c r="BO13" s="17">
        <v>287.041</v>
      </c>
      <c r="BP13" s="17">
        <v>1.31189</v>
      </c>
      <c r="BQ13" s="17">
        <v>1207.3800000000001</v>
      </c>
      <c r="BR13" s="17">
        <v>741.82799999999997</v>
      </c>
      <c r="BS13" s="17">
        <v>7336.24</v>
      </c>
      <c r="BT13" s="17">
        <v>0</v>
      </c>
      <c r="BU13" s="17">
        <v>0</v>
      </c>
      <c r="BV13" s="18">
        <v>8746010</v>
      </c>
      <c r="BW13" s="17">
        <v>1503.51</v>
      </c>
      <c r="BX13" s="17">
        <v>20.265899999999998</v>
      </c>
      <c r="BY13" s="17">
        <v>1213920</v>
      </c>
      <c r="BZ13" s="17">
        <v>1645480</v>
      </c>
      <c r="CA13" s="17">
        <v>287.03699999999998</v>
      </c>
      <c r="CB13" s="17">
        <v>1.3106199999999999</v>
      </c>
      <c r="CC13" s="17">
        <v>1211.1199999999999</v>
      </c>
      <c r="CD13" s="17">
        <v>750.21100000000001</v>
      </c>
      <c r="CE13" s="17">
        <v>7336.24</v>
      </c>
      <c r="CF13" s="17">
        <v>0</v>
      </c>
      <c r="CG13" s="17">
        <v>0</v>
      </c>
      <c r="CH13" s="17">
        <v>4746080</v>
      </c>
      <c r="CI13" s="17">
        <v>1301.08</v>
      </c>
      <c r="CJ13" s="17">
        <v>12.708</v>
      </c>
      <c r="CK13" s="17">
        <v>1026340</v>
      </c>
      <c r="CL13" s="17">
        <v>1399810</v>
      </c>
      <c r="CM13" s="17">
        <v>287.048</v>
      </c>
      <c r="CN13" s="17">
        <v>1.3185800000000001</v>
      </c>
      <c r="CO13" s="17">
        <v>1188.06</v>
      </c>
      <c r="CP13" s="17">
        <v>700.95799999999997</v>
      </c>
      <c r="CQ13" s="17">
        <v>7336.24</v>
      </c>
      <c r="CR13" s="17">
        <v>700.95699999999999</v>
      </c>
      <c r="CS13" s="17">
        <v>0.99999857338100195</v>
      </c>
      <c r="CT13" s="17">
        <v>2092.9699999999998</v>
      </c>
      <c r="CU13" s="17">
        <v>162.512</v>
      </c>
      <c r="CV13" s="17">
        <v>4.4867400000000002E-2</v>
      </c>
      <c r="CW13" s="17">
        <v>116986</v>
      </c>
      <c r="CX13" s="17">
        <v>163634</v>
      </c>
      <c r="CY13" s="17">
        <v>287.04300000000001</v>
      </c>
      <c r="CZ13" s="17">
        <v>1.3905099999999999</v>
      </c>
      <c r="DA13" s="17">
        <v>1022.09</v>
      </c>
      <c r="DB13" s="17">
        <v>254.65799999999999</v>
      </c>
      <c r="DC13" s="17">
        <v>7336.25</v>
      </c>
      <c r="DD13" s="17">
        <v>1721.54</v>
      </c>
      <c r="DE13" s="17">
        <v>6.7602000000000002</v>
      </c>
      <c r="DF13" s="22">
        <f t="shared" si="1"/>
        <v>6980583.3454592414</v>
      </c>
      <c r="DG13" s="22">
        <f t="shared" si="2"/>
        <v>1645483.9857999999</v>
      </c>
      <c r="DH13" s="22"/>
      <c r="DI13" s="21">
        <v>222</v>
      </c>
      <c r="DJ13" s="21" t="s">
        <v>168</v>
      </c>
      <c r="DK13" s="21">
        <v>799</v>
      </c>
      <c r="DL13" s="23">
        <f t="shared" si="3"/>
        <v>1253.5</v>
      </c>
      <c r="DM13" s="23">
        <f t="shared" si="4"/>
        <v>5842</v>
      </c>
      <c r="DN13" s="24">
        <v>1.13677E-4</v>
      </c>
      <c r="DO13" s="21">
        <v>0.35359296940958601</v>
      </c>
      <c r="DP13" s="21">
        <v>0.49909904228407997</v>
      </c>
      <c r="DQ13" s="23"/>
      <c r="DU13" s="2">
        <v>5.9179945199999997</v>
      </c>
      <c r="DV13" s="2">
        <f t="shared" si="5"/>
        <v>7.8155365772424004E-2</v>
      </c>
      <c r="DW13" s="2">
        <f t="shared" si="6"/>
        <v>205.99007532656</v>
      </c>
      <c r="DX13" s="2">
        <f t="shared" si="7"/>
        <v>286.70664229068143</v>
      </c>
      <c r="DY13" s="2">
        <f t="shared" si="8"/>
        <v>1696.7283379238529</v>
      </c>
      <c r="DZ13" s="19">
        <f t="shared" si="9"/>
        <v>9732911.9916187227</v>
      </c>
      <c r="EA13" s="2">
        <v>5.7739619199999996</v>
      </c>
      <c r="EB13" s="2">
        <f t="shared" si="10"/>
        <v>8.2815325343604002E-2</v>
      </c>
      <c r="EC13" s="2">
        <f t="shared" si="11"/>
        <v>215.06705145184003</v>
      </c>
      <c r="ED13" s="2">
        <f t="shared" si="12"/>
        <v>292.95542644480309</v>
      </c>
      <c r="EE13" s="2">
        <f t="shared" si="13"/>
        <v>1691.5134765496539</v>
      </c>
      <c r="EF13" s="19">
        <f t="shared" si="14"/>
        <v>9913516.4598338734</v>
      </c>
    </row>
    <row r="14" spans="1:136" s="26" customFormat="1">
      <c r="A14" s="1">
        <v>10</v>
      </c>
      <c r="B14" s="26" t="s">
        <v>165</v>
      </c>
      <c r="C14" s="26">
        <v>240906</v>
      </c>
      <c r="D14" s="26" t="s">
        <v>160</v>
      </c>
      <c r="E14" s="26" t="s">
        <v>150</v>
      </c>
      <c r="F14" s="2">
        <v>6.76</v>
      </c>
      <c r="G14" s="26">
        <v>1011.1</v>
      </c>
      <c r="H14" s="26">
        <v>24.2</v>
      </c>
      <c r="I14" s="26">
        <v>53.1</v>
      </c>
      <c r="J14" s="26" t="s">
        <v>151</v>
      </c>
      <c r="K14" s="26">
        <v>200</v>
      </c>
      <c r="L14" s="26" t="s">
        <v>179</v>
      </c>
      <c r="M14" s="26" t="s">
        <v>153</v>
      </c>
      <c r="N14" s="26" t="s">
        <v>154</v>
      </c>
      <c r="O14" s="26">
        <v>0.2</v>
      </c>
      <c r="P14" s="26">
        <v>26</v>
      </c>
      <c r="Q14" s="26">
        <v>0.8</v>
      </c>
      <c r="R14" s="2">
        <v>1000000</v>
      </c>
      <c r="S14" s="26" t="s">
        <v>155</v>
      </c>
      <c r="T14" s="26" t="s">
        <v>170</v>
      </c>
      <c r="U14" s="26" t="s">
        <v>157</v>
      </c>
      <c r="V14" s="26">
        <v>65942</v>
      </c>
      <c r="W14" s="26">
        <v>1280</v>
      </c>
      <c r="X14" s="26">
        <v>32</v>
      </c>
      <c r="Y14" s="26" t="s">
        <v>158</v>
      </c>
      <c r="Z14" s="26">
        <v>9.5000000000000001E-2</v>
      </c>
      <c r="AA14" s="27">
        <v>1.21073857903671</v>
      </c>
      <c r="AB14" s="26">
        <f t="shared" si="0"/>
        <v>26</v>
      </c>
      <c r="AC14" s="27">
        <v>122.60347129519199</v>
      </c>
      <c r="AD14" s="27">
        <v>0.107587157732401</v>
      </c>
      <c r="AE14" s="2" t="s">
        <v>159</v>
      </c>
      <c r="AF14" s="27">
        <v>83.871332713491995</v>
      </c>
      <c r="AG14" s="27">
        <v>3.86215582478596</v>
      </c>
      <c r="AH14" s="27">
        <v>3.9319999999999999</v>
      </c>
      <c r="AI14" s="27">
        <v>1173.70892018779</v>
      </c>
      <c r="AJ14" s="27">
        <v>-250.68700000000001</v>
      </c>
      <c r="AK14" s="27">
        <v>0.28299999999999997</v>
      </c>
      <c r="AL14" s="17">
        <v>122184</v>
      </c>
      <c r="AM14" s="17">
        <v>299.14999999999998</v>
      </c>
      <c r="AN14" s="17">
        <v>1.4228499999999999</v>
      </c>
      <c r="AO14" s="17">
        <v>215347</v>
      </c>
      <c r="AP14" s="17">
        <v>301220</v>
      </c>
      <c r="AQ14" s="17">
        <v>287.05500000000001</v>
      </c>
      <c r="AR14" s="17">
        <v>1.39053</v>
      </c>
      <c r="AS14" s="17">
        <v>1022.1</v>
      </c>
      <c r="AT14" s="17">
        <v>345.50799999999998</v>
      </c>
      <c r="AU14" s="17">
        <v>6799.88</v>
      </c>
      <c r="AV14" s="17">
        <v>0</v>
      </c>
      <c r="AW14" s="17">
        <v>0</v>
      </c>
      <c r="AX14" s="17">
        <v>1632500</v>
      </c>
      <c r="AY14" s="17">
        <v>917.19899999999996</v>
      </c>
      <c r="AZ14" s="17">
        <v>6.20052</v>
      </c>
      <c r="BA14" s="17">
        <v>690461</v>
      </c>
      <c r="BB14" s="17">
        <v>953745</v>
      </c>
      <c r="BC14" s="17">
        <v>287.053</v>
      </c>
      <c r="BD14" s="17">
        <v>1.3430500000000001</v>
      </c>
      <c r="BE14" s="17">
        <v>1123.82</v>
      </c>
      <c r="BF14" s="17">
        <v>594.59500000000003</v>
      </c>
      <c r="BG14" s="17">
        <v>7236.9</v>
      </c>
      <c r="BH14" s="17">
        <v>269.33499999999998</v>
      </c>
      <c r="BI14" s="17">
        <v>0.452972191155324</v>
      </c>
      <c r="BJ14" s="18">
        <v>8996440</v>
      </c>
      <c r="BK14" s="17">
        <v>1573.85</v>
      </c>
      <c r="BL14" s="17">
        <v>19.9145</v>
      </c>
      <c r="BM14" s="17">
        <v>1280700</v>
      </c>
      <c r="BN14" s="17">
        <v>1732450</v>
      </c>
      <c r="BO14" s="17">
        <v>287.03699999999998</v>
      </c>
      <c r="BP14" s="17">
        <v>1.3083400000000001</v>
      </c>
      <c r="BQ14" s="17">
        <v>1217.94</v>
      </c>
      <c r="BR14" s="17">
        <v>766.46199999999999</v>
      </c>
      <c r="BS14" s="17">
        <v>7384.66</v>
      </c>
      <c r="BT14" s="17">
        <v>0</v>
      </c>
      <c r="BU14" s="17">
        <v>0</v>
      </c>
      <c r="BV14" s="18">
        <v>8387130</v>
      </c>
      <c r="BW14" s="17">
        <v>1548.46</v>
      </c>
      <c r="BX14" s="17">
        <v>18.870100000000001</v>
      </c>
      <c r="BY14" s="17">
        <v>1256530</v>
      </c>
      <c r="BZ14" s="17">
        <v>1701000</v>
      </c>
      <c r="CA14" s="17">
        <v>287.03800000000001</v>
      </c>
      <c r="CB14" s="17">
        <v>1.3090999999999999</v>
      </c>
      <c r="CC14" s="17">
        <v>1215.6600000000001</v>
      </c>
      <c r="CD14" s="17">
        <v>760.63099999999997</v>
      </c>
      <c r="CE14" s="17">
        <v>7384.66</v>
      </c>
      <c r="CF14" s="17">
        <v>0</v>
      </c>
      <c r="CG14" s="17">
        <v>0</v>
      </c>
      <c r="CH14" s="17">
        <v>4554890</v>
      </c>
      <c r="CI14" s="17">
        <v>1341.39</v>
      </c>
      <c r="CJ14" s="17">
        <v>11.829499999999999</v>
      </c>
      <c r="CK14" s="17">
        <v>1063130</v>
      </c>
      <c r="CL14" s="17">
        <v>1448170</v>
      </c>
      <c r="CM14" s="17">
        <v>287.04899999999998</v>
      </c>
      <c r="CN14" s="17">
        <v>1.31684</v>
      </c>
      <c r="CO14" s="17">
        <v>1193.02</v>
      </c>
      <c r="CP14" s="17">
        <v>711.09199999999998</v>
      </c>
      <c r="CQ14" s="17">
        <v>7384.66</v>
      </c>
      <c r="CR14" s="17">
        <v>711.09100000000001</v>
      </c>
      <c r="CS14" s="17">
        <v>0.99999859371220601</v>
      </c>
      <c r="CT14" s="17">
        <v>1995.61</v>
      </c>
      <c r="CU14" s="17">
        <v>168.02199999999999</v>
      </c>
      <c r="CV14" s="17">
        <v>4.1377900000000002E-2</v>
      </c>
      <c r="CW14" s="17">
        <v>120953</v>
      </c>
      <c r="CX14" s="17">
        <v>169182</v>
      </c>
      <c r="CY14" s="17">
        <v>287.03800000000001</v>
      </c>
      <c r="CZ14" s="17">
        <v>1.3905099999999999</v>
      </c>
      <c r="DA14" s="17">
        <v>1022.08</v>
      </c>
      <c r="DB14" s="17">
        <v>258.94</v>
      </c>
      <c r="DC14" s="17">
        <v>7384.66</v>
      </c>
      <c r="DD14" s="17">
        <v>1750.32</v>
      </c>
      <c r="DE14" s="17">
        <v>6.7595700000000001</v>
      </c>
      <c r="DF14" s="28">
        <f t="shared" si="1"/>
        <v>6351416.4010215765</v>
      </c>
      <c r="DG14" s="28">
        <f t="shared" si="2"/>
        <v>1700992.0511999999</v>
      </c>
      <c r="DH14" s="28"/>
      <c r="DI14" s="26">
        <v>225</v>
      </c>
      <c r="DJ14" s="26" t="s">
        <v>168</v>
      </c>
      <c r="DK14" s="26">
        <v>70</v>
      </c>
      <c r="DL14" s="29">
        <f t="shared" si="3"/>
        <v>88.661586</v>
      </c>
      <c r="DM14" s="29">
        <f t="shared" si="4"/>
        <v>347.94552999999996</v>
      </c>
      <c r="DN14" s="30">
        <v>1.15554E-4</v>
      </c>
      <c r="DO14" s="26">
        <v>0.25375851763209201</v>
      </c>
      <c r="DP14" s="26">
        <v>0.40166767408486798</v>
      </c>
      <c r="DQ14" s="29"/>
      <c r="DU14" s="2">
        <v>5.9179945199999997</v>
      </c>
      <c r="DV14" s="2">
        <f t="shared" si="5"/>
        <v>7.2076940259404004E-2</v>
      </c>
      <c r="DW14" s="2">
        <f t="shared" si="6"/>
        <v>212.97420766786001</v>
      </c>
      <c r="DX14" s="2">
        <f t="shared" si="7"/>
        <v>291.52753086393932</v>
      </c>
      <c r="DY14" s="2">
        <f t="shared" si="8"/>
        <v>1725.2583300819238</v>
      </c>
      <c r="DZ14" s="19">
        <f t="shared" si="9"/>
        <v>8872905.5254183412</v>
      </c>
      <c r="EA14" s="2">
        <v>5.7739619199999996</v>
      </c>
      <c r="EB14" s="2">
        <f t="shared" si="10"/>
        <v>7.6374477917934003E-2</v>
      </c>
      <c r="EC14" s="2">
        <f t="shared" si="11"/>
        <v>222.35894038004</v>
      </c>
      <c r="ED14" s="2">
        <f t="shared" si="12"/>
        <v>297.88138650117929</v>
      </c>
      <c r="EE14" s="2">
        <f t="shared" si="13"/>
        <v>1719.9557823346111</v>
      </c>
      <c r="EF14" s="19">
        <f t="shared" si="14"/>
        <v>9040474.2270453218</v>
      </c>
    </row>
    <row r="15" spans="1:136" s="21" customFormat="1">
      <c r="A15" s="20">
        <v>11</v>
      </c>
      <c r="B15" s="21" t="s">
        <v>165</v>
      </c>
      <c r="C15" s="21">
        <v>240909</v>
      </c>
      <c r="D15" s="21" t="s">
        <v>160</v>
      </c>
      <c r="E15" s="21" t="s">
        <v>150</v>
      </c>
      <c r="F15" s="2">
        <v>6.76</v>
      </c>
      <c r="G15" s="21">
        <v>1012</v>
      </c>
      <c r="H15" s="21">
        <v>25</v>
      </c>
      <c r="I15" s="21">
        <v>48.7</v>
      </c>
      <c r="J15" s="21" t="s">
        <v>151</v>
      </c>
      <c r="K15" s="21">
        <v>200</v>
      </c>
      <c r="L15" s="21" t="s">
        <v>180</v>
      </c>
      <c r="M15" s="21" t="s">
        <v>153</v>
      </c>
      <c r="N15" s="21" t="s">
        <v>154</v>
      </c>
      <c r="O15" s="21">
        <v>0.2</v>
      </c>
      <c r="P15" s="21">
        <v>27</v>
      </c>
      <c r="Q15" s="21">
        <v>0.64</v>
      </c>
      <c r="R15" s="21">
        <v>1000000</v>
      </c>
      <c r="S15" s="21" t="s">
        <v>155</v>
      </c>
      <c r="T15" s="21" t="s">
        <v>170</v>
      </c>
      <c r="U15" s="21" t="s">
        <v>157</v>
      </c>
      <c r="V15" s="21">
        <v>1500000</v>
      </c>
      <c r="W15" s="21">
        <v>1280</v>
      </c>
      <c r="X15" s="21">
        <v>32</v>
      </c>
      <c r="Y15" s="21" t="s">
        <v>158</v>
      </c>
      <c r="Z15" s="21">
        <v>9.5000000000000001E-2</v>
      </c>
      <c r="AA15" s="25">
        <v>1.2073339758664701</v>
      </c>
      <c r="AB15" s="21">
        <f t="shared" si="0"/>
        <v>27</v>
      </c>
      <c r="AC15" s="25">
        <v>122.65520852520601</v>
      </c>
      <c r="AD15" s="25">
        <v>0.111266333610738</v>
      </c>
      <c r="AE15" s="2" t="s">
        <v>159</v>
      </c>
      <c r="AF15" s="25">
        <v>88.029078659200195</v>
      </c>
      <c r="AG15" s="25">
        <v>2.65029998783216</v>
      </c>
      <c r="AH15" s="25">
        <v>3.13</v>
      </c>
      <c r="AI15" s="25">
        <v>1128.6681715575601</v>
      </c>
      <c r="AJ15" s="25">
        <v>-616.55399999999997</v>
      </c>
      <c r="AK15" s="25">
        <v>0.375</v>
      </c>
      <c r="AL15" s="17">
        <v>121934</v>
      </c>
      <c r="AM15" s="17">
        <v>300.14999999999998</v>
      </c>
      <c r="AN15" s="17">
        <v>1.4152</v>
      </c>
      <c r="AO15" s="17">
        <v>216067</v>
      </c>
      <c r="AP15" s="17">
        <v>302227</v>
      </c>
      <c r="AQ15" s="17">
        <v>287.05500000000001</v>
      </c>
      <c r="AR15" s="17">
        <v>1.39053</v>
      </c>
      <c r="AS15" s="17">
        <v>1022.1</v>
      </c>
      <c r="AT15" s="17">
        <v>346.08499999999998</v>
      </c>
      <c r="AU15" s="17">
        <v>6803.91</v>
      </c>
      <c r="AV15" s="17">
        <v>0</v>
      </c>
      <c r="AW15" s="17">
        <v>0</v>
      </c>
      <c r="AX15" s="17">
        <v>1498350</v>
      </c>
      <c r="AY15" s="17">
        <v>872.37400000000002</v>
      </c>
      <c r="AZ15" s="17">
        <v>5.9834500000000004</v>
      </c>
      <c r="BA15" s="17">
        <v>653125</v>
      </c>
      <c r="BB15" s="17">
        <v>903541</v>
      </c>
      <c r="BC15" s="17">
        <v>287.05099999999999</v>
      </c>
      <c r="BD15" s="17">
        <v>1.34697</v>
      </c>
      <c r="BE15" s="17">
        <v>1114.3699999999999</v>
      </c>
      <c r="BF15" s="17">
        <v>580.74800000000005</v>
      </c>
      <c r="BG15" s="17">
        <v>7205.41</v>
      </c>
      <c r="BH15" s="17">
        <v>266.952</v>
      </c>
      <c r="BI15" s="17">
        <v>0.45966925413432302</v>
      </c>
      <c r="BJ15" s="18">
        <v>8012730</v>
      </c>
      <c r="BK15" s="17">
        <v>1483.62</v>
      </c>
      <c r="BL15" s="17">
        <v>18.8155</v>
      </c>
      <c r="BM15" s="17">
        <v>1195160</v>
      </c>
      <c r="BN15" s="17">
        <v>1621020</v>
      </c>
      <c r="BO15" s="17">
        <v>287.04000000000002</v>
      </c>
      <c r="BP15" s="17">
        <v>1.3113300000000001</v>
      </c>
      <c r="BQ15" s="17">
        <v>1209.03</v>
      </c>
      <c r="BR15" s="17">
        <v>745.54399999999998</v>
      </c>
      <c r="BS15" s="17">
        <v>7345</v>
      </c>
      <c r="BT15" s="17">
        <v>0</v>
      </c>
      <c r="BU15" s="17">
        <v>0</v>
      </c>
      <c r="BV15" s="18">
        <v>8802910</v>
      </c>
      <c r="BW15" s="17">
        <v>1516.5</v>
      </c>
      <c r="BX15" s="17">
        <v>20.222999999999999</v>
      </c>
      <c r="BY15" s="17">
        <v>1226220</v>
      </c>
      <c r="BZ15" s="17">
        <v>1661510</v>
      </c>
      <c r="CA15" s="17">
        <v>287.036</v>
      </c>
      <c r="CB15" s="17">
        <v>1.3101499999999999</v>
      </c>
      <c r="CC15" s="17">
        <v>1212.5</v>
      </c>
      <c r="CD15" s="17">
        <v>753.23699999999997</v>
      </c>
      <c r="CE15" s="17">
        <v>7345</v>
      </c>
      <c r="CF15" s="17">
        <v>0</v>
      </c>
      <c r="CG15" s="17">
        <v>0</v>
      </c>
      <c r="CH15" s="17">
        <v>4777940</v>
      </c>
      <c r="CI15" s="17">
        <v>1312.74</v>
      </c>
      <c r="CJ15" s="17">
        <v>12.679600000000001</v>
      </c>
      <c r="CK15" s="17">
        <v>1036950</v>
      </c>
      <c r="CL15" s="17">
        <v>1413770</v>
      </c>
      <c r="CM15" s="17">
        <v>287.048</v>
      </c>
      <c r="CN15" s="17">
        <v>1.3180799999999999</v>
      </c>
      <c r="CO15" s="17">
        <v>1189.49</v>
      </c>
      <c r="CP15" s="17">
        <v>703.90899999999999</v>
      </c>
      <c r="CQ15" s="17">
        <v>7345</v>
      </c>
      <c r="CR15" s="17">
        <v>703.90800000000002</v>
      </c>
      <c r="CS15" s="17">
        <v>0.99999857936182102</v>
      </c>
      <c r="CT15" s="17">
        <v>2103.41</v>
      </c>
      <c r="CU15" s="17">
        <v>164.12</v>
      </c>
      <c r="CV15" s="17">
        <v>4.4649399999999999E-2</v>
      </c>
      <c r="CW15" s="17">
        <v>118144</v>
      </c>
      <c r="CX15" s="17">
        <v>165253</v>
      </c>
      <c r="CY15" s="17">
        <v>287.04300000000001</v>
      </c>
      <c r="CZ15" s="17">
        <v>1.3905099999999999</v>
      </c>
      <c r="DA15" s="17">
        <v>1022.09</v>
      </c>
      <c r="DB15" s="17">
        <v>255.91499999999999</v>
      </c>
      <c r="DC15" s="17">
        <v>7345</v>
      </c>
      <c r="DD15" s="17">
        <v>1729.89</v>
      </c>
      <c r="DE15" s="17">
        <v>6.7596299999999996</v>
      </c>
      <c r="DF15" s="22">
        <f t="shared" si="1"/>
        <v>6918460.7017933717</v>
      </c>
      <c r="DG15" s="22">
        <f t="shared" si="2"/>
        <v>1661512.7060500002</v>
      </c>
      <c r="DH15" s="22"/>
      <c r="DI15" s="21">
        <v>228</v>
      </c>
      <c r="DJ15" s="21" t="s">
        <v>168</v>
      </c>
      <c r="DK15" s="21">
        <v>928</v>
      </c>
      <c r="DL15" s="23">
        <f t="shared" si="3"/>
        <v>1490.5</v>
      </c>
      <c r="DM15" s="23">
        <f t="shared" si="4"/>
        <v>6185.5</v>
      </c>
      <c r="DN15" s="24">
        <v>1.15637E-4</v>
      </c>
      <c r="DO15" s="21">
        <v>0.25335808700000001</v>
      </c>
      <c r="DP15" s="21">
        <v>0.40137395999999997</v>
      </c>
      <c r="DQ15" s="23"/>
      <c r="DU15" s="2">
        <v>5.9179945199999997</v>
      </c>
      <c r="DV15" s="2">
        <f t="shared" si="5"/>
        <v>7.7775627482743998E-2</v>
      </c>
      <c r="DW15" s="2">
        <f t="shared" si="6"/>
        <v>208.02827583560003</v>
      </c>
      <c r="DX15" s="2">
        <f t="shared" si="7"/>
        <v>288.12183540992129</v>
      </c>
      <c r="DY15" s="2">
        <f t="shared" si="8"/>
        <v>1705.1034430482562</v>
      </c>
      <c r="DZ15" s="19">
        <f t="shared" si="9"/>
        <v>9652400.6456246749</v>
      </c>
      <c r="EA15" s="2">
        <v>5.7739619199999996</v>
      </c>
      <c r="EB15" s="2">
        <f t="shared" si="10"/>
        <v>8.2412945421323991E-2</v>
      </c>
      <c r="EC15" s="2">
        <f t="shared" si="11"/>
        <v>217.19506549840003</v>
      </c>
      <c r="ED15" s="2">
        <f t="shared" si="12"/>
        <v>294.40146376167957</v>
      </c>
      <c r="EE15" s="2">
        <f t="shared" si="13"/>
        <v>1699.8628409521978</v>
      </c>
      <c r="EF15" s="19">
        <f t="shared" si="14"/>
        <v>9832453.3534485884</v>
      </c>
    </row>
    <row r="16" spans="1:136" s="21" customFormat="1">
      <c r="A16" s="20">
        <v>12</v>
      </c>
      <c r="B16" s="21" t="s">
        <v>165</v>
      </c>
      <c r="C16" s="21">
        <v>240909</v>
      </c>
      <c r="D16" s="21" t="s">
        <v>160</v>
      </c>
      <c r="E16" s="21" t="s">
        <v>150</v>
      </c>
      <c r="F16" s="2">
        <v>6.76</v>
      </c>
      <c r="G16" s="21">
        <v>1012.5</v>
      </c>
      <c r="H16" s="21">
        <v>25</v>
      </c>
      <c r="I16" s="21">
        <v>48.7</v>
      </c>
      <c r="J16" s="21" t="s">
        <v>151</v>
      </c>
      <c r="K16" s="21">
        <v>200</v>
      </c>
      <c r="L16" s="21" t="s">
        <v>181</v>
      </c>
      <c r="M16" s="21" t="s">
        <v>153</v>
      </c>
      <c r="N16" s="21" t="s">
        <v>154</v>
      </c>
      <c r="O16" s="21">
        <v>0.2</v>
      </c>
      <c r="P16" s="21">
        <v>27</v>
      </c>
      <c r="Q16" s="21">
        <v>0.69</v>
      </c>
      <c r="R16" s="21">
        <v>1000000</v>
      </c>
      <c r="S16" s="21" t="s">
        <v>155</v>
      </c>
      <c r="T16" s="21" t="s">
        <v>167</v>
      </c>
      <c r="U16" s="21" t="s">
        <v>157</v>
      </c>
      <c r="V16" s="21">
        <v>1500000</v>
      </c>
      <c r="W16" s="21">
        <v>1280</v>
      </c>
      <c r="X16" s="21">
        <v>32</v>
      </c>
      <c r="Y16" s="21" t="s">
        <v>158</v>
      </c>
      <c r="Z16" s="21">
        <v>9.5000000000000001E-2</v>
      </c>
      <c r="AA16" s="25">
        <v>1.2064181779852099</v>
      </c>
      <c r="AB16" s="21">
        <f t="shared" si="0"/>
        <v>27</v>
      </c>
      <c r="AC16" s="25">
        <v>122.45751361046899</v>
      </c>
      <c r="AD16" s="25">
        <v>7.2790305219658999E-2</v>
      </c>
      <c r="AE16" s="2" t="s">
        <v>159</v>
      </c>
      <c r="AF16" s="25">
        <v>87.912525978613601</v>
      </c>
      <c r="AG16" s="25">
        <v>2.64067765132675</v>
      </c>
      <c r="AH16" s="25">
        <v>3.177</v>
      </c>
      <c r="AI16" s="25">
        <v>1126.12612612613</v>
      </c>
      <c r="AJ16" s="25">
        <v>-448.59100000000001</v>
      </c>
      <c r="AK16" s="25">
        <v>0.377</v>
      </c>
      <c r="AL16" s="17">
        <v>121892</v>
      </c>
      <c r="AM16" s="17">
        <v>300.14999999999998</v>
      </c>
      <c r="AN16" s="17">
        <v>1.41472</v>
      </c>
      <c r="AO16" s="17">
        <v>216067</v>
      </c>
      <c r="AP16" s="17">
        <v>302227</v>
      </c>
      <c r="AQ16" s="17">
        <v>287.05500000000001</v>
      </c>
      <c r="AR16" s="17">
        <v>1.39053</v>
      </c>
      <c r="AS16" s="17">
        <v>1022.1</v>
      </c>
      <c r="AT16" s="17">
        <v>346.08499999999998</v>
      </c>
      <c r="AU16" s="17">
        <v>6804.01</v>
      </c>
      <c r="AV16" s="17">
        <v>0</v>
      </c>
      <c r="AW16" s="17">
        <v>0</v>
      </c>
      <c r="AX16" s="17">
        <v>1490920</v>
      </c>
      <c r="AY16" s="17">
        <v>869.83799999999997</v>
      </c>
      <c r="AZ16" s="17">
        <v>5.9711299999999996</v>
      </c>
      <c r="BA16" s="17">
        <v>651025</v>
      </c>
      <c r="BB16" s="17">
        <v>900713</v>
      </c>
      <c r="BC16" s="17">
        <v>287.05099999999999</v>
      </c>
      <c r="BD16" s="17">
        <v>1.3471900000000001</v>
      </c>
      <c r="BE16" s="17">
        <v>1113.83</v>
      </c>
      <c r="BF16" s="17">
        <v>579.952</v>
      </c>
      <c r="BG16" s="17">
        <v>7203.6</v>
      </c>
      <c r="BH16" s="17">
        <v>266.81</v>
      </c>
      <c r="BI16" s="17">
        <v>0.46005531492261398</v>
      </c>
      <c r="BJ16" s="18">
        <v>7959370</v>
      </c>
      <c r="BK16" s="17">
        <v>1478.56</v>
      </c>
      <c r="BL16" s="17">
        <v>18.754100000000001</v>
      </c>
      <c r="BM16" s="17">
        <v>1190400</v>
      </c>
      <c r="BN16" s="17">
        <v>1614810</v>
      </c>
      <c r="BO16" s="17">
        <v>287.041</v>
      </c>
      <c r="BP16" s="17">
        <v>1.31151</v>
      </c>
      <c r="BQ16" s="17">
        <v>1208.5</v>
      </c>
      <c r="BR16" s="17">
        <v>744.35199999999998</v>
      </c>
      <c r="BS16" s="17">
        <v>7342.72</v>
      </c>
      <c r="BT16" s="17">
        <v>0</v>
      </c>
      <c r="BU16" s="17">
        <v>0</v>
      </c>
      <c r="BV16" s="18">
        <v>8791250</v>
      </c>
      <c r="BW16" s="17">
        <v>1513.25</v>
      </c>
      <c r="BX16" s="17">
        <v>20.239699999999999</v>
      </c>
      <c r="BY16" s="17">
        <v>1223130</v>
      </c>
      <c r="BZ16" s="17">
        <v>1657490</v>
      </c>
      <c r="CA16" s="17">
        <v>287.036</v>
      </c>
      <c r="CB16" s="17">
        <v>1.31027</v>
      </c>
      <c r="CC16" s="17">
        <v>1212.1500000000001</v>
      </c>
      <c r="CD16" s="17">
        <v>752.48</v>
      </c>
      <c r="CE16" s="17">
        <v>7342.72</v>
      </c>
      <c r="CF16" s="17">
        <v>0</v>
      </c>
      <c r="CG16" s="17">
        <v>0</v>
      </c>
      <c r="CH16" s="17">
        <v>4771370</v>
      </c>
      <c r="CI16" s="17">
        <v>1309.82</v>
      </c>
      <c r="CJ16" s="17">
        <v>12.6905</v>
      </c>
      <c r="CK16" s="17">
        <v>1034290</v>
      </c>
      <c r="CL16" s="17">
        <v>1410270</v>
      </c>
      <c r="CM16" s="17">
        <v>287.048</v>
      </c>
      <c r="CN16" s="17">
        <v>1.3182100000000001</v>
      </c>
      <c r="CO16" s="17">
        <v>1189.1300000000001</v>
      </c>
      <c r="CP16" s="17">
        <v>703.17100000000005</v>
      </c>
      <c r="CQ16" s="17">
        <v>7342.72</v>
      </c>
      <c r="CR16" s="17">
        <v>703.17</v>
      </c>
      <c r="CS16" s="17">
        <v>0.99999857787081603</v>
      </c>
      <c r="CT16" s="17">
        <v>2101.71</v>
      </c>
      <c r="CU16" s="17">
        <v>163.72200000000001</v>
      </c>
      <c r="CV16" s="17">
        <v>4.47216E-2</v>
      </c>
      <c r="CW16" s="17">
        <v>117858</v>
      </c>
      <c r="CX16" s="17">
        <v>164853</v>
      </c>
      <c r="CY16" s="17">
        <v>287.04300000000001</v>
      </c>
      <c r="CZ16" s="17">
        <v>1.3905099999999999</v>
      </c>
      <c r="DA16" s="17">
        <v>1022.09</v>
      </c>
      <c r="DB16" s="17">
        <v>255.60499999999999</v>
      </c>
      <c r="DC16" s="17">
        <v>7342.73</v>
      </c>
      <c r="DD16" s="17">
        <v>1727.79</v>
      </c>
      <c r="DE16" s="17">
        <v>6.7596299999999996</v>
      </c>
      <c r="DF16" s="22">
        <f t="shared" si="1"/>
        <v>6936439.9243621267</v>
      </c>
      <c r="DG16" s="22">
        <f t="shared" si="2"/>
        <v>1657482.1420499999</v>
      </c>
      <c r="DH16" s="22"/>
      <c r="DI16" s="21">
        <v>231</v>
      </c>
      <c r="DJ16" s="21" t="s">
        <v>168</v>
      </c>
      <c r="DK16" s="21">
        <v>843</v>
      </c>
      <c r="DL16" s="23">
        <f t="shared" si="3"/>
        <v>1408.5</v>
      </c>
      <c r="DM16" s="23">
        <f t="shared" si="4"/>
        <v>6174</v>
      </c>
      <c r="DN16" s="24">
        <v>1.15506E-4</v>
      </c>
      <c r="DO16" s="21">
        <v>0.153279262</v>
      </c>
      <c r="DP16" s="21">
        <v>0.30112750599999999</v>
      </c>
      <c r="DQ16" s="23"/>
      <c r="DU16" s="2">
        <v>5.9179945199999997</v>
      </c>
      <c r="DV16" s="2">
        <f t="shared" si="5"/>
        <v>7.7901394017215991E-2</v>
      </c>
      <c r="DW16" s="2">
        <f t="shared" si="6"/>
        <v>207.52379585886001</v>
      </c>
      <c r="DX16" s="2">
        <f t="shared" si="7"/>
        <v>287.772821991493</v>
      </c>
      <c r="DY16" s="2">
        <f t="shared" si="8"/>
        <v>1703.037983550591</v>
      </c>
      <c r="DZ16" s="19">
        <f t="shared" si="9"/>
        <v>9676204.8719952181</v>
      </c>
      <c r="EA16" s="2">
        <v>5.7739619199999996</v>
      </c>
      <c r="EB16" s="2">
        <f t="shared" si="10"/>
        <v>8.2546210698335995E-2</v>
      </c>
      <c r="EC16" s="2">
        <f t="shared" si="11"/>
        <v>216.66835555404003</v>
      </c>
      <c r="ED16" s="2">
        <f t="shared" si="12"/>
        <v>294.04484358011098</v>
      </c>
      <c r="EE16" s="2">
        <f t="shared" si="13"/>
        <v>1697.8037296039172</v>
      </c>
      <c r="EF16" s="19">
        <f t="shared" si="14"/>
        <v>9856468.9572279509</v>
      </c>
    </row>
    <row r="17" spans="1:136">
      <c r="A17" s="31">
        <v>13</v>
      </c>
      <c r="B17" s="2" t="s">
        <v>173</v>
      </c>
      <c r="C17" s="2">
        <v>240912</v>
      </c>
      <c r="D17" s="2" t="s">
        <v>174</v>
      </c>
      <c r="E17" s="2" t="s">
        <v>150</v>
      </c>
      <c r="F17" s="2">
        <v>6.76</v>
      </c>
      <c r="G17" s="2">
        <v>1015.6</v>
      </c>
      <c r="H17" s="2">
        <v>26.2</v>
      </c>
      <c r="I17" s="2">
        <v>48.4</v>
      </c>
      <c r="J17" s="2" t="s">
        <v>151</v>
      </c>
      <c r="K17" s="2">
        <v>200</v>
      </c>
      <c r="L17" s="2" t="s">
        <v>182</v>
      </c>
      <c r="M17" s="2" t="s">
        <v>153</v>
      </c>
      <c r="N17" s="2" t="s">
        <v>154</v>
      </c>
      <c r="O17" s="2">
        <v>0.2</v>
      </c>
      <c r="P17" s="2">
        <v>28</v>
      </c>
      <c r="Q17" s="2">
        <v>0.8</v>
      </c>
      <c r="R17" s="2">
        <v>1000000</v>
      </c>
      <c r="S17" s="2" t="s">
        <v>183</v>
      </c>
      <c r="T17" s="2" t="s">
        <v>183</v>
      </c>
      <c r="U17" s="2" t="s">
        <v>183</v>
      </c>
      <c r="V17" s="2" t="s">
        <v>183</v>
      </c>
      <c r="W17" s="2" t="s">
        <v>183</v>
      </c>
      <c r="X17" s="2" t="s">
        <v>183</v>
      </c>
      <c r="Y17" s="2" t="s">
        <v>183</v>
      </c>
      <c r="Z17" s="2" t="s">
        <v>183</v>
      </c>
      <c r="AA17" s="2">
        <v>1.20958910665691</v>
      </c>
      <c r="AB17">
        <f t="shared" si="0"/>
        <v>28</v>
      </c>
      <c r="AC17" s="2">
        <v>121.985976621848</v>
      </c>
      <c r="AD17" s="2">
        <v>8.0022301908039203E-2</v>
      </c>
      <c r="AE17" s="2" t="s">
        <v>159</v>
      </c>
      <c r="AF17" s="2">
        <v>87.727238371397405</v>
      </c>
      <c r="AG17" s="2">
        <v>2.64013805519643</v>
      </c>
      <c r="AH17" s="2">
        <v>3.048</v>
      </c>
      <c r="AI17" s="2">
        <v>1112.7596439169099</v>
      </c>
      <c r="AJ17" s="2">
        <v>0.832666666666667</v>
      </c>
      <c r="AK17" s="2">
        <v>0.29666666666666702</v>
      </c>
      <c r="AL17" s="17">
        <v>122519</v>
      </c>
      <c r="AM17" s="17">
        <v>301.14999999999998</v>
      </c>
      <c r="AN17" s="17">
        <v>1.4172800000000001</v>
      </c>
      <c r="AO17" s="17">
        <v>216787</v>
      </c>
      <c r="AP17" s="17">
        <v>303233</v>
      </c>
      <c r="AQ17" s="17">
        <v>287.05500000000001</v>
      </c>
      <c r="AR17" s="17">
        <v>1.39053</v>
      </c>
      <c r="AS17" s="17">
        <v>1022.1</v>
      </c>
      <c r="AT17" s="17">
        <v>346.661</v>
      </c>
      <c r="AU17" s="17">
        <v>6805.98</v>
      </c>
      <c r="AV17" s="17">
        <v>0</v>
      </c>
      <c r="AW17" s="17">
        <v>0</v>
      </c>
      <c r="AX17" s="17">
        <v>1457410</v>
      </c>
      <c r="AY17" s="17">
        <v>857.42100000000005</v>
      </c>
      <c r="AZ17" s="17">
        <v>5.9214700000000002</v>
      </c>
      <c r="BA17" s="17">
        <v>640761</v>
      </c>
      <c r="BB17" s="17">
        <v>886884</v>
      </c>
      <c r="BC17" s="17">
        <v>287.05</v>
      </c>
      <c r="BD17" s="17">
        <v>1.3482799999999999</v>
      </c>
      <c r="BE17" s="17">
        <v>1111.24</v>
      </c>
      <c r="BF17" s="17">
        <v>576.03300000000002</v>
      </c>
      <c r="BG17" s="17">
        <v>7194.14</v>
      </c>
      <c r="BH17" s="17">
        <v>266.334</v>
      </c>
      <c r="BI17" s="17">
        <v>0.46235892735312001</v>
      </c>
      <c r="BJ17" s="18">
        <v>7701380</v>
      </c>
      <c r="BK17" s="17">
        <v>1452.69</v>
      </c>
      <c r="BL17" s="17">
        <v>18.4693</v>
      </c>
      <c r="BM17" s="17">
        <v>1166170</v>
      </c>
      <c r="BN17" s="17">
        <v>1583150</v>
      </c>
      <c r="BO17" s="17">
        <v>287.04199999999997</v>
      </c>
      <c r="BP17" s="17">
        <v>1.31243</v>
      </c>
      <c r="BQ17" s="17">
        <v>1205.79</v>
      </c>
      <c r="BR17" s="17">
        <v>738.21299999999997</v>
      </c>
      <c r="BS17" s="17">
        <v>7330.58</v>
      </c>
      <c r="BT17" s="17">
        <v>0</v>
      </c>
      <c r="BU17" s="17">
        <v>0</v>
      </c>
      <c r="BV17" s="18">
        <v>8772720</v>
      </c>
      <c r="BW17" s="17">
        <v>1497.68</v>
      </c>
      <c r="BX17" s="17">
        <v>20.4069</v>
      </c>
      <c r="BY17" s="17">
        <v>1208410</v>
      </c>
      <c r="BZ17" s="17">
        <v>1638300</v>
      </c>
      <c r="CA17" s="17">
        <v>287.03699999999998</v>
      </c>
      <c r="CB17" s="17">
        <v>1.3108200000000001</v>
      </c>
      <c r="CC17" s="17">
        <v>1210.51</v>
      </c>
      <c r="CD17" s="17">
        <v>748.84699999999998</v>
      </c>
      <c r="CE17" s="17">
        <v>7330.58</v>
      </c>
      <c r="CF17" s="17">
        <v>0</v>
      </c>
      <c r="CG17" s="17">
        <v>0</v>
      </c>
      <c r="CH17" s="17">
        <v>4760130</v>
      </c>
      <c r="CI17" s="17">
        <v>1295.8499999999999</v>
      </c>
      <c r="CJ17" s="17">
        <v>12.797000000000001</v>
      </c>
      <c r="CK17" s="17">
        <v>1021590</v>
      </c>
      <c r="CL17" s="17">
        <v>1393560</v>
      </c>
      <c r="CM17" s="17">
        <v>287.048</v>
      </c>
      <c r="CN17" s="17">
        <v>1.31881</v>
      </c>
      <c r="CO17" s="17">
        <v>1187.42</v>
      </c>
      <c r="CP17" s="17">
        <v>699.62900000000002</v>
      </c>
      <c r="CQ17" s="17">
        <v>7330.58</v>
      </c>
      <c r="CR17" s="17">
        <v>699.62800000000004</v>
      </c>
      <c r="CS17" s="17">
        <v>0.99999857067102704</v>
      </c>
      <c r="CT17" s="17">
        <v>2101.1</v>
      </c>
      <c r="CU17" s="17">
        <v>161.79900000000001</v>
      </c>
      <c r="CV17" s="17">
        <v>4.5240000000000002E-2</v>
      </c>
      <c r="CW17" s="17">
        <v>116473</v>
      </c>
      <c r="CX17" s="17">
        <v>162916</v>
      </c>
      <c r="CY17" s="17">
        <v>287.04399999999998</v>
      </c>
      <c r="CZ17" s="17">
        <v>1.3905099999999999</v>
      </c>
      <c r="DA17" s="17">
        <v>1022.09</v>
      </c>
      <c r="DB17" s="17">
        <v>254.09899999999999</v>
      </c>
      <c r="DC17" s="17">
        <v>7330.58</v>
      </c>
      <c r="DD17" s="17">
        <v>1717.78</v>
      </c>
      <c r="DE17" s="17">
        <v>6.7602900000000004</v>
      </c>
      <c r="DF17" s="19">
        <f t="shared" si="1"/>
        <v>7051225.8485167455</v>
      </c>
      <c r="DG17" s="19">
        <f t="shared" si="2"/>
        <v>1638300.0641999999</v>
      </c>
      <c r="DH17" s="19"/>
      <c r="DI17" s="2" t="s">
        <v>183</v>
      </c>
      <c r="DJ17" s="2" t="s">
        <v>183</v>
      </c>
      <c r="DK17" s="2" t="s">
        <v>183</v>
      </c>
      <c r="DL17" s="2" t="s">
        <v>183</v>
      </c>
      <c r="DM17" s="2" t="s">
        <v>183</v>
      </c>
      <c r="DN17" s="2" t="s">
        <v>183</v>
      </c>
      <c r="DO17" s="2" t="s">
        <v>183</v>
      </c>
      <c r="DP17" s="2" t="s">
        <v>183</v>
      </c>
      <c r="DQ17" s="16"/>
      <c r="DU17" s="2">
        <v>5.9179945199999997</v>
      </c>
      <c r="DV17" s="2">
        <f t="shared" si="5"/>
        <v>7.8804404702399994E-2</v>
      </c>
      <c r="DW17" s="2">
        <f t="shared" si="6"/>
        <v>205.08632099637003</v>
      </c>
      <c r="DX17" s="2">
        <f t="shared" si="7"/>
        <v>286.07729228777367</v>
      </c>
      <c r="DY17" s="2">
        <f t="shared" si="8"/>
        <v>1693.0038480554829</v>
      </c>
      <c r="DZ17" s="19">
        <f t="shared" si="9"/>
        <v>9828891.9438813608</v>
      </c>
      <c r="EA17" s="2">
        <v>5.7739619199999996</v>
      </c>
      <c r="EB17" s="2">
        <f t="shared" si="10"/>
        <v>8.3503062770399997E-2</v>
      </c>
      <c r="EC17" s="2">
        <f t="shared" si="11"/>
        <v>214.12347308418003</v>
      </c>
      <c r="ED17" s="2">
        <f t="shared" si="12"/>
        <v>292.3123597302972</v>
      </c>
      <c r="EE17" s="2">
        <f t="shared" si="13"/>
        <v>1687.8004338280773</v>
      </c>
      <c r="EF17" s="19">
        <f t="shared" si="14"/>
        <v>10010848.038251366</v>
      </c>
    </row>
    <row r="18" spans="1:136" s="33" customFormat="1">
      <c r="A18" s="32">
        <v>14</v>
      </c>
      <c r="B18" s="33" t="s">
        <v>173</v>
      </c>
      <c r="C18" s="33">
        <v>240913</v>
      </c>
      <c r="D18" s="33" t="s">
        <v>184</v>
      </c>
      <c r="E18" s="33" t="s">
        <v>185</v>
      </c>
      <c r="F18" s="33">
        <v>6</v>
      </c>
      <c r="G18" s="33">
        <v>1007.4</v>
      </c>
      <c r="H18" s="33">
        <v>24.4</v>
      </c>
      <c r="I18" s="33">
        <v>52</v>
      </c>
      <c r="J18" s="33" t="s">
        <v>151</v>
      </c>
      <c r="K18" s="33">
        <v>200</v>
      </c>
      <c r="L18" s="33" t="s">
        <v>186</v>
      </c>
      <c r="M18" s="33" t="s">
        <v>153</v>
      </c>
      <c r="N18" s="33" t="s">
        <v>154</v>
      </c>
      <c r="O18" s="33">
        <v>0.2</v>
      </c>
      <c r="P18" s="33">
        <v>27</v>
      </c>
      <c r="Q18" s="33">
        <v>0.31</v>
      </c>
      <c r="S18" s="33" t="s">
        <v>155</v>
      </c>
      <c r="T18" s="33" t="s">
        <v>187</v>
      </c>
      <c r="U18" s="33" t="s">
        <v>157</v>
      </c>
      <c r="V18" s="33">
        <v>65000</v>
      </c>
      <c r="W18" s="33">
        <v>1024</v>
      </c>
      <c r="X18" s="33">
        <v>800</v>
      </c>
      <c r="Y18" s="33">
        <v>135</v>
      </c>
      <c r="Z18" s="33">
        <v>2</v>
      </c>
      <c r="AA18" s="34">
        <v>1.20025999505437</v>
      </c>
      <c r="AB18" s="34">
        <f t="shared" si="0"/>
        <v>27</v>
      </c>
      <c r="AC18" s="34">
        <v>122.09655300469799</v>
      </c>
      <c r="AD18" s="34">
        <v>5.3605008203355599E-2</v>
      </c>
      <c r="AE18" s="33" t="s">
        <v>159</v>
      </c>
      <c r="AF18" s="34">
        <v>87.898100135992195</v>
      </c>
      <c r="AG18" s="34">
        <v>2.6492354524923201</v>
      </c>
      <c r="AH18" s="34">
        <v>2.98</v>
      </c>
      <c r="AI18" s="34">
        <v>1111.1111111111099</v>
      </c>
      <c r="AJ18" s="34">
        <v>0.76</v>
      </c>
      <c r="AK18" s="34">
        <v>0.49</v>
      </c>
      <c r="AL18" s="35">
        <v>120766</v>
      </c>
      <c r="AM18" s="35">
        <v>300.14999999999998</v>
      </c>
      <c r="AN18" s="35">
        <v>1.4016500000000001</v>
      </c>
      <c r="AO18" s="35">
        <v>216067</v>
      </c>
      <c r="AP18" s="35">
        <v>302227</v>
      </c>
      <c r="AQ18" s="35">
        <v>287.05500000000001</v>
      </c>
      <c r="AR18" s="35">
        <v>1.39053</v>
      </c>
      <c r="AS18" s="35">
        <v>1022.1</v>
      </c>
      <c r="AT18" s="35">
        <v>346.08499999999998</v>
      </c>
      <c r="AU18" s="35">
        <v>6806.67</v>
      </c>
      <c r="AV18" s="35">
        <v>0</v>
      </c>
      <c r="AW18" s="35">
        <v>0</v>
      </c>
      <c r="AX18" s="35">
        <v>1436960</v>
      </c>
      <c r="AY18" s="35">
        <v>854.952</v>
      </c>
      <c r="AZ18" s="35">
        <v>5.85527</v>
      </c>
      <c r="BA18" s="35">
        <v>638724</v>
      </c>
      <c r="BB18" s="35">
        <v>884138</v>
      </c>
      <c r="BC18" s="35">
        <v>287.05</v>
      </c>
      <c r="BD18" s="35">
        <v>1.3485</v>
      </c>
      <c r="BE18" s="35">
        <v>1110.72</v>
      </c>
      <c r="BF18" s="35">
        <v>575.24900000000002</v>
      </c>
      <c r="BG18" s="35">
        <v>7194.99</v>
      </c>
      <c r="BH18" s="35">
        <v>265.98099999999999</v>
      </c>
      <c r="BI18" s="35">
        <v>0.46237542351225303</v>
      </c>
      <c r="BJ18" s="36">
        <v>7592980</v>
      </c>
      <c r="BK18" s="35">
        <v>1448.8</v>
      </c>
      <c r="BL18" s="35">
        <v>18.258199999999999</v>
      </c>
      <c r="BM18" s="35">
        <v>1162530</v>
      </c>
      <c r="BN18" s="35">
        <v>1578400</v>
      </c>
      <c r="BO18" s="35">
        <v>287.04300000000001</v>
      </c>
      <c r="BP18" s="35">
        <v>1.31257</v>
      </c>
      <c r="BQ18" s="35">
        <v>1205.3800000000001</v>
      </c>
      <c r="BR18" s="35">
        <v>737.28300000000002</v>
      </c>
      <c r="BS18" s="35">
        <v>7331.37</v>
      </c>
      <c r="BT18" s="35">
        <v>0</v>
      </c>
      <c r="BU18" s="35">
        <v>0</v>
      </c>
      <c r="BV18" s="36">
        <v>8789810</v>
      </c>
      <c r="BW18" s="35">
        <v>1499.33</v>
      </c>
      <c r="BX18" s="35">
        <v>20.424199999999999</v>
      </c>
      <c r="BY18" s="35">
        <v>1209970</v>
      </c>
      <c r="BZ18" s="35">
        <v>1640330</v>
      </c>
      <c r="CA18" s="35">
        <v>287.03699999999998</v>
      </c>
      <c r="CB18" s="35">
        <v>1.31077</v>
      </c>
      <c r="CC18" s="35">
        <v>1210.68</v>
      </c>
      <c r="CD18" s="35">
        <v>749.23299999999995</v>
      </c>
      <c r="CE18" s="35">
        <v>7331.37</v>
      </c>
      <c r="CF18" s="35">
        <v>0</v>
      </c>
      <c r="CG18" s="35">
        <v>0</v>
      </c>
      <c r="CH18" s="35">
        <v>4769520</v>
      </c>
      <c r="CI18" s="35">
        <v>1297.32</v>
      </c>
      <c r="CJ18" s="35">
        <v>12.807700000000001</v>
      </c>
      <c r="CK18" s="35">
        <v>1022930</v>
      </c>
      <c r="CL18" s="35">
        <v>1395330</v>
      </c>
      <c r="CM18" s="35">
        <v>287.048</v>
      </c>
      <c r="CN18" s="35">
        <v>1.3187500000000001</v>
      </c>
      <c r="CO18" s="35">
        <v>1187.5999999999999</v>
      </c>
      <c r="CP18" s="35">
        <v>700.00400000000002</v>
      </c>
      <c r="CQ18" s="35">
        <v>7331.37</v>
      </c>
      <c r="CR18" s="35">
        <v>700.00400000000002</v>
      </c>
      <c r="CS18" s="35">
        <v>1</v>
      </c>
      <c r="CT18" s="35">
        <v>4516.09</v>
      </c>
      <c r="CU18" s="35">
        <v>200.26499999999999</v>
      </c>
      <c r="CV18" s="35">
        <v>7.8557600000000005E-2</v>
      </c>
      <c r="CW18" s="35">
        <v>144163</v>
      </c>
      <c r="CX18" s="35">
        <v>201651</v>
      </c>
      <c r="CY18" s="35">
        <v>287.05799999999999</v>
      </c>
      <c r="CZ18" s="35">
        <v>1.39053</v>
      </c>
      <c r="DA18" s="35">
        <v>1022.1</v>
      </c>
      <c r="DB18" s="35">
        <v>282.69499999999999</v>
      </c>
      <c r="DC18" s="35">
        <v>7331.38</v>
      </c>
      <c r="DD18" s="35">
        <v>1696.28</v>
      </c>
      <c r="DE18" s="35">
        <v>6.0003900000000003</v>
      </c>
      <c r="DF18" s="37">
        <f t="shared" si="1"/>
        <v>10018528.043482797</v>
      </c>
      <c r="DG18" s="38">
        <f t="shared" si="2"/>
        <v>1640333.9191999999</v>
      </c>
      <c r="DH18" s="37">
        <f t="shared" ref="DH18:DH23" si="15">CT18*(((CZ18+1)^2*DE18^2)/(4*CZ18*DE18^2-2*(CZ18-1)))^((CZ18)/(CZ18-1))*((1-CZ18+2*CZ18*DE18^2)/(CZ18+1))</f>
        <v>210384.52297049167</v>
      </c>
      <c r="DI18" s="33" t="s">
        <v>183</v>
      </c>
      <c r="DJ18" s="33" t="s">
        <v>183</v>
      </c>
      <c r="DK18" s="33" t="s">
        <v>183</v>
      </c>
      <c r="DL18" s="33" t="s">
        <v>183</v>
      </c>
      <c r="DM18" s="33" t="s">
        <v>183</v>
      </c>
      <c r="DN18" s="33" t="s">
        <v>183</v>
      </c>
      <c r="DO18" s="33" t="s">
        <v>183</v>
      </c>
      <c r="DP18" s="33" t="s">
        <v>183</v>
      </c>
      <c r="DQ18" s="39"/>
    </row>
    <row r="19" spans="1:136" s="33" customFormat="1">
      <c r="A19" s="32">
        <v>15</v>
      </c>
      <c r="B19" s="33" t="s">
        <v>173</v>
      </c>
      <c r="C19" s="33">
        <v>240913</v>
      </c>
      <c r="D19" s="33" t="s">
        <v>184</v>
      </c>
      <c r="E19" s="33" t="s">
        <v>185</v>
      </c>
      <c r="F19" s="33">
        <v>6</v>
      </c>
      <c r="G19" s="33">
        <v>1006.4</v>
      </c>
      <c r="H19" s="33">
        <v>24.2</v>
      </c>
      <c r="I19" s="33">
        <v>51.4</v>
      </c>
      <c r="J19" s="33" t="s">
        <v>151</v>
      </c>
      <c r="K19" s="33">
        <v>200</v>
      </c>
      <c r="L19" s="33" t="s">
        <v>188</v>
      </c>
      <c r="M19" s="33" t="s">
        <v>153</v>
      </c>
      <c r="N19" s="33" t="s">
        <v>154</v>
      </c>
      <c r="O19" s="33">
        <v>0.2</v>
      </c>
      <c r="P19" s="33">
        <v>27</v>
      </c>
      <c r="Q19" s="33">
        <v>0.24</v>
      </c>
      <c r="S19" s="33" t="s">
        <v>183</v>
      </c>
      <c r="T19" s="33" t="s">
        <v>183</v>
      </c>
      <c r="U19" s="33" t="s">
        <v>183</v>
      </c>
      <c r="V19" s="33" t="s">
        <v>183</v>
      </c>
      <c r="W19" s="33" t="s">
        <v>183</v>
      </c>
      <c r="X19" s="33" t="s">
        <v>183</v>
      </c>
      <c r="Y19" s="33" t="s">
        <v>183</v>
      </c>
      <c r="Z19" s="33" t="s">
        <v>183</v>
      </c>
      <c r="AA19" s="34">
        <v>1.20813829922667</v>
      </c>
      <c r="AB19" s="34">
        <f t="shared" si="0"/>
        <v>27</v>
      </c>
      <c r="AC19" s="34">
        <v>123.543359841518</v>
      </c>
      <c r="AD19" s="34">
        <v>0.157545036079971</v>
      </c>
      <c r="AE19" s="33" t="s">
        <v>159</v>
      </c>
      <c r="AF19" s="34">
        <v>89.506085474351096</v>
      </c>
      <c r="AG19" s="34">
        <v>2.6901426030626099</v>
      </c>
      <c r="AH19" s="34">
        <v>2.74</v>
      </c>
      <c r="AI19" s="34">
        <v>1136.3636363636399</v>
      </c>
      <c r="AJ19" s="34">
        <v>0.76</v>
      </c>
      <c r="AK19" s="34">
        <v>0.5</v>
      </c>
      <c r="AL19" s="35">
        <v>121454</v>
      </c>
      <c r="AM19" s="35">
        <v>300.14999999999998</v>
      </c>
      <c r="AN19" s="35">
        <v>1.40964</v>
      </c>
      <c r="AO19" s="35">
        <v>216067</v>
      </c>
      <c r="AP19" s="35">
        <v>302227</v>
      </c>
      <c r="AQ19" s="35">
        <v>287.05500000000001</v>
      </c>
      <c r="AR19" s="35">
        <v>1.39053</v>
      </c>
      <c r="AS19" s="35">
        <v>1022.1</v>
      </c>
      <c r="AT19" s="35">
        <v>346.08499999999998</v>
      </c>
      <c r="AU19" s="35">
        <v>6805.04</v>
      </c>
      <c r="AV19" s="35">
        <v>0</v>
      </c>
      <c r="AW19" s="35">
        <v>0</v>
      </c>
      <c r="AX19" s="35">
        <v>1513430</v>
      </c>
      <c r="AY19" s="35">
        <v>880.077</v>
      </c>
      <c r="AZ19" s="35">
        <v>5.9907700000000004</v>
      </c>
      <c r="BA19" s="35">
        <v>659512</v>
      </c>
      <c r="BB19" s="35">
        <v>912139</v>
      </c>
      <c r="BC19" s="35">
        <v>287.05099999999999</v>
      </c>
      <c r="BD19" s="35">
        <v>1.34629</v>
      </c>
      <c r="BE19" s="35">
        <v>1115.98</v>
      </c>
      <c r="BF19" s="35">
        <v>583.15800000000002</v>
      </c>
      <c r="BG19" s="35">
        <v>7212.34</v>
      </c>
      <c r="BH19" s="35">
        <v>267.38799999999998</v>
      </c>
      <c r="BI19" s="35">
        <v>0.45851724575501002</v>
      </c>
      <c r="BJ19" s="36">
        <v>8134980</v>
      </c>
      <c r="BK19" s="35">
        <v>1498.97</v>
      </c>
      <c r="BL19" s="35">
        <v>18.907</v>
      </c>
      <c r="BM19" s="35">
        <v>1209630</v>
      </c>
      <c r="BN19" s="35">
        <v>1639890</v>
      </c>
      <c r="BO19" s="35">
        <v>287.03899999999999</v>
      </c>
      <c r="BP19" s="35">
        <v>1.3107800000000001</v>
      </c>
      <c r="BQ19" s="35">
        <v>1210.6500000000001</v>
      </c>
      <c r="BR19" s="35">
        <v>749.149</v>
      </c>
      <c r="BS19" s="35">
        <v>7353.31</v>
      </c>
      <c r="BT19" s="35">
        <v>0</v>
      </c>
      <c r="BU19" s="35">
        <v>0</v>
      </c>
      <c r="BV19" s="36">
        <v>8950610</v>
      </c>
      <c r="BW19" s="35">
        <v>1532.64</v>
      </c>
      <c r="BX19" s="35">
        <v>20.346</v>
      </c>
      <c r="BY19" s="35">
        <v>1241540</v>
      </c>
      <c r="BZ19" s="35">
        <v>1681460</v>
      </c>
      <c r="CA19" s="35">
        <v>287.03500000000003</v>
      </c>
      <c r="CB19" s="35">
        <v>1.30958</v>
      </c>
      <c r="CC19" s="35">
        <v>1214.21</v>
      </c>
      <c r="CD19" s="35">
        <v>756.97199999999998</v>
      </c>
      <c r="CE19" s="35">
        <v>7353.31</v>
      </c>
      <c r="CF19" s="35">
        <v>0</v>
      </c>
      <c r="CG19" s="35">
        <v>0</v>
      </c>
      <c r="CH19" s="35">
        <v>4859370</v>
      </c>
      <c r="CI19" s="35">
        <v>1327.23</v>
      </c>
      <c r="CJ19" s="35">
        <v>12.755000000000001</v>
      </c>
      <c r="CK19" s="35">
        <v>1050160</v>
      </c>
      <c r="CL19" s="35">
        <v>1431140</v>
      </c>
      <c r="CM19" s="35">
        <v>287.048</v>
      </c>
      <c r="CN19" s="35">
        <v>1.31745</v>
      </c>
      <c r="CO19" s="35">
        <v>1191.27</v>
      </c>
      <c r="CP19" s="35">
        <v>707.553</v>
      </c>
      <c r="CQ19" s="35">
        <v>7353.31</v>
      </c>
      <c r="CR19" s="35">
        <v>707.55200000000002</v>
      </c>
      <c r="CS19" s="35">
        <v>0.99999858667831198</v>
      </c>
      <c r="CT19" s="35">
        <v>4574.58</v>
      </c>
      <c r="CU19" s="35">
        <v>205.286</v>
      </c>
      <c r="CV19" s="35">
        <v>7.7628600000000006E-2</v>
      </c>
      <c r="CW19" s="35">
        <v>147778</v>
      </c>
      <c r="CX19" s="35">
        <v>206707</v>
      </c>
      <c r="CY19" s="35">
        <v>287.05799999999999</v>
      </c>
      <c r="CZ19" s="35">
        <v>1.39053</v>
      </c>
      <c r="DA19" s="35">
        <v>1022.1</v>
      </c>
      <c r="DB19" s="35">
        <v>286.21699999999998</v>
      </c>
      <c r="DC19" s="35">
        <v>7353.31</v>
      </c>
      <c r="DD19" s="35">
        <v>1717.41</v>
      </c>
      <c r="DE19" s="35">
        <v>6.0003900000000003</v>
      </c>
      <c r="DF19" s="37">
        <f t="shared" si="1"/>
        <v>9813686.3572770301</v>
      </c>
      <c r="DG19" s="38">
        <f t="shared" si="2"/>
        <v>1681455.5540500002</v>
      </c>
      <c r="DH19" s="37">
        <f t="shared" si="15"/>
        <v>213109.31161477111</v>
      </c>
      <c r="DI19" s="33" t="s">
        <v>183</v>
      </c>
      <c r="DJ19" s="33" t="s">
        <v>183</v>
      </c>
      <c r="DK19" s="33" t="s">
        <v>183</v>
      </c>
      <c r="DL19" s="33" t="s">
        <v>183</v>
      </c>
      <c r="DM19" s="33" t="s">
        <v>183</v>
      </c>
      <c r="DN19" s="33" t="s">
        <v>183</v>
      </c>
      <c r="DO19" s="33" t="s">
        <v>183</v>
      </c>
      <c r="DP19" s="33" t="s">
        <v>183</v>
      </c>
      <c r="DQ19" s="39"/>
    </row>
    <row r="20" spans="1:136" s="41" customFormat="1">
      <c r="A20" s="40">
        <v>16</v>
      </c>
      <c r="B20" s="41" t="s">
        <v>148</v>
      </c>
      <c r="C20" s="41">
        <v>240914</v>
      </c>
      <c r="D20" s="41" t="s">
        <v>184</v>
      </c>
      <c r="E20" s="41" t="s">
        <v>185</v>
      </c>
      <c r="F20" s="41">
        <v>6</v>
      </c>
      <c r="G20" s="41">
        <v>1004.7</v>
      </c>
      <c r="H20" s="41">
        <v>25</v>
      </c>
      <c r="I20" s="41">
        <v>51.7</v>
      </c>
      <c r="J20" s="41" t="s">
        <v>151</v>
      </c>
      <c r="K20" s="41">
        <v>200</v>
      </c>
      <c r="L20" s="41" t="s">
        <v>189</v>
      </c>
      <c r="M20" s="41" t="s">
        <v>153</v>
      </c>
      <c r="N20" s="41" t="s">
        <v>154</v>
      </c>
      <c r="O20" s="41">
        <v>0.2</v>
      </c>
      <c r="P20" s="41">
        <v>27</v>
      </c>
      <c r="Q20" s="41">
        <v>0.27</v>
      </c>
      <c r="S20" s="41" t="s">
        <v>183</v>
      </c>
      <c r="T20" s="41" t="s">
        <v>183</v>
      </c>
      <c r="U20" s="41" t="s">
        <v>183</v>
      </c>
      <c r="V20" s="41" t="s">
        <v>183</v>
      </c>
      <c r="W20" s="41" t="s">
        <v>183</v>
      </c>
      <c r="X20" s="41" t="s">
        <v>183</v>
      </c>
      <c r="Y20" s="41" t="s">
        <v>183</v>
      </c>
      <c r="Z20" s="41" t="s">
        <v>183</v>
      </c>
      <c r="AA20" s="42">
        <v>1.20581286368567</v>
      </c>
      <c r="AB20" s="42">
        <f t="shared" si="0"/>
        <v>27</v>
      </c>
      <c r="AC20" s="42">
        <v>122.577626640265</v>
      </c>
      <c r="AD20" s="42">
        <v>4.8788993971967301E-2</v>
      </c>
      <c r="AE20" s="41" t="s">
        <v>159</v>
      </c>
      <c r="AF20" s="42">
        <v>83.139079857857396</v>
      </c>
      <c r="AG20" s="42">
        <v>4.1640835301499104</v>
      </c>
      <c r="AH20" s="42">
        <v>4.03</v>
      </c>
      <c r="AI20" s="42">
        <v>1190.4761904761899</v>
      </c>
      <c r="AJ20" s="42">
        <v>0.74</v>
      </c>
      <c r="AK20" s="42">
        <v>0.5</v>
      </c>
      <c r="AL20" s="43">
        <v>121051</v>
      </c>
      <c r="AM20" s="43">
        <v>300.14999999999998</v>
      </c>
      <c r="AN20" s="43">
        <v>1.40496</v>
      </c>
      <c r="AO20" s="43">
        <v>216067</v>
      </c>
      <c r="AP20" s="43">
        <v>302227</v>
      </c>
      <c r="AQ20" s="43">
        <v>287.05500000000001</v>
      </c>
      <c r="AR20" s="43">
        <v>1.39053</v>
      </c>
      <c r="AS20" s="43">
        <v>1022.1</v>
      </c>
      <c r="AT20" s="43">
        <v>346.08499999999998</v>
      </c>
      <c r="AU20" s="43">
        <v>6805.99</v>
      </c>
      <c r="AV20" s="43">
        <v>0</v>
      </c>
      <c r="AW20" s="43">
        <v>0</v>
      </c>
      <c r="AX20" s="43">
        <v>1659610</v>
      </c>
      <c r="AY20" s="43">
        <v>935.38400000000001</v>
      </c>
      <c r="AZ20" s="43">
        <v>6.1809000000000003</v>
      </c>
      <c r="BA20" s="43">
        <v>705724</v>
      </c>
      <c r="BB20" s="43">
        <v>974230</v>
      </c>
      <c r="BC20" s="43">
        <v>287.05399999999997</v>
      </c>
      <c r="BD20" s="43">
        <v>1.34148</v>
      </c>
      <c r="BE20" s="43">
        <v>1127.68</v>
      </c>
      <c r="BF20" s="43">
        <v>600.09400000000005</v>
      </c>
      <c r="BG20" s="43">
        <v>7254.32</v>
      </c>
      <c r="BH20" s="43">
        <v>270.60399999999998</v>
      </c>
      <c r="BI20" s="43">
        <v>0.45093602002353</v>
      </c>
      <c r="BJ20" s="36">
        <v>9230670</v>
      </c>
      <c r="BK20" s="43">
        <v>1608.9</v>
      </c>
      <c r="BL20" s="43">
        <v>19.9879</v>
      </c>
      <c r="BM20" s="43">
        <v>1314260</v>
      </c>
      <c r="BN20" s="43">
        <v>1776080</v>
      </c>
      <c r="BO20" s="43">
        <v>287.03800000000001</v>
      </c>
      <c r="BP20" s="43">
        <v>1.3072999999999999</v>
      </c>
      <c r="BQ20" s="43">
        <v>1221.1099999999999</v>
      </c>
      <c r="BR20" s="43">
        <v>774.41099999999994</v>
      </c>
      <c r="BS20" s="43">
        <v>7404.69</v>
      </c>
      <c r="BT20" s="43">
        <v>0</v>
      </c>
      <c r="BU20" s="43">
        <v>0</v>
      </c>
      <c r="BV20" s="36">
        <v>8313910</v>
      </c>
      <c r="BW20" s="43">
        <v>1570.53</v>
      </c>
      <c r="BX20" s="43">
        <v>18.442499999999999</v>
      </c>
      <c r="BY20" s="43">
        <v>1277520</v>
      </c>
      <c r="BZ20" s="43">
        <v>1728320</v>
      </c>
      <c r="CA20" s="43">
        <v>287.03899999999999</v>
      </c>
      <c r="CB20" s="43">
        <v>1.30844</v>
      </c>
      <c r="CC20" s="43">
        <v>1217.6400000000001</v>
      </c>
      <c r="CD20" s="43">
        <v>765.70100000000002</v>
      </c>
      <c r="CE20" s="43">
        <v>7404.7</v>
      </c>
      <c r="CF20" s="43">
        <v>0</v>
      </c>
      <c r="CG20" s="43">
        <v>0</v>
      </c>
      <c r="CH20" s="43">
        <v>4517210</v>
      </c>
      <c r="CI20" s="43">
        <v>1361.16</v>
      </c>
      <c r="CJ20" s="43">
        <v>11.561299999999999</v>
      </c>
      <c r="CK20" s="43">
        <v>1081280</v>
      </c>
      <c r="CL20" s="43">
        <v>1472000</v>
      </c>
      <c r="CM20" s="43">
        <v>287.04899999999998</v>
      </c>
      <c r="CN20" s="43">
        <v>1.31599</v>
      </c>
      <c r="CO20" s="43">
        <v>1195.47</v>
      </c>
      <c r="CP20" s="43">
        <v>715.99099999999999</v>
      </c>
      <c r="CQ20" s="43">
        <v>7404.7</v>
      </c>
      <c r="CR20" s="43">
        <v>715.99</v>
      </c>
      <c r="CS20" s="43">
        <v>0.99999860333440005</v>
      </c>
      <c r="CT20" s="43">
        <v>4224</v>
      </c>
      <c r="CU20" s="43">
        <v>211.005</v>
      </c>
      <c r="CV20" s="43">
        <v>6.9737199999999999E-2</v>
      </c>
      <c r="CW20" s="43">
        <v>151894</v>
      </c>
      <c r="CX20" s="43">
        <v>212465</v>
      </c>
      <c r="CY20" s="43">
        <v>287.05700000000002</v>
      </c>
      <c r="CZ20" s="43">
        <v>1.39053</v>
      </c>
      <c r="DA20" s="43">
        <v>1022.1</v>
      </c>
      <c r="DB20" s="43">
        <v>290.17599999999999</v>
      </c>
      <c r="DC20" s="43">
        <v>7404.7</v>
      </c>
      <c r="DD20" s="43">
        <v>1741.18</v>
      </c>
      <c r="DE20" s="43">
        <v>6.0004400000000002</v>
      </c>
      <c r="DF20" s="44">
        <f t="shared" si="1"/>
        <v>8732269.5751003269</v>
      </c>
      <c r="DG20" s="45">
        <f t="shared" si="2"/>
        <v>1728318.8962000001</v>
      </c>
      <c r="DH20" s="44">
        <f t="shared" si="15"/>
        <v>196780.59708952589</v>
      </c>
      <c r="DI20" s="41" t="s">
        <v>183</v>
      </c>
      <c r="DJ20" s="41" t="s">
        <v>183</v>
      </c>
      <c r="DK20" s="41" t="s">
        <v>183</v>
      </c>
      <c r="DL20" s="41" t="s">
        <v>183</v>
      </c>
      <c r="DM20" s="41" t="s">
        <v>183</v>
      </c>
      <c r="DN20" s="41" t="s">
        <v>183</v>
      </c>
      <c r="DO20" s="41" t="s">
        <v>183</v>
      </c>
      <c r="DP20" s="41" t="s">
        <v>183</v>
      </c>
      <c r="DQ20" s="46"/>
    </row>
    <row r="21" spans="1:136" s="33" customFormat="1">
      <c r="A21" s="32">
        <v>17</v>
      </c>
      <c r="B21" s="33" t="s">
        <v>190</v>
      </c>
      <c r="C21" s="33">
        <v>240927</v>
      </c>
      <c r="D21" s="33" t="s">
        <v>184</v>
      </c>
      <c r="E21" s="33" t="s">
        <v>191</v>
      </c>
      <c r="F21" s="33">
        <v>6</v>
      </c>
      <c r="G21" s="33">
        <v>1012.2</v>
      </c>
      <c r="H21" s="33">
        <v>24.6</v>
      </c>
      <c r="I21" s="33">
        <v>49.1</v>
      </c>
      <c r="J21" s="33" t="s">
        <v>151</v>
      </c>
      <c r="K21" s="33">
        <v>200</v>
      </c>
      <c r="L21" s="33" t="s">
        <v>192</v>
      </c>
      <c r="M21" s="33" t="s">
        <v>153</v>
      </c>
      <c r="N21" s="33" t="s">
        <v>154</v>
      </c>
      <c r="O21" s="33">
        <v>0.2</v>
      </c>
      <c r="P21" s="33">
        <v>27</v>
      </c>
      <c r="Q21" s="33">
        <v>0.43</v>
      </c>
      <c r="S21" s="33" t="s">
        <v>183</v>
      </c>
      <c r="T21" s="33" t="s">
        <v>183</v>
      </c>
      <c r="U21" s="33" t="s">
        <v>183</v>
      </c>
      <c r="V21" s="33" t="s">
        <v>183</v>
      </c>
      <c r="W21" s="33" t="s">
        <v>183</v>
      </c>
      <c r="X21" s="33" t="s">
        <v>183</v>
      </c>
      <c r="Y21" s="33" t="s">
        <v>183</v>
      </c>
      <c r="Z21" s="33" t="s">
        <v>183</v>
      </c>
      <c r="AA21" s="34">
        <v>1.2080111605216699</v>
      </c>
      <c r="AB21" s="34">
        <f t="shared" si="0"/>
        <v>27</v>
      </c>
      <c r="AC21" s="34">
        <v>122.097370365247</v>
      </c>
      <c r="AD21" s="34">
        <v>0.19707841610420199</v>
      </c>
      <c r="AE21" s="33" t="s">
        <v>159</v>
      </c>
      <c r="AF21" s="34">
        <v>88.518428750065297</v>
      </c>
      <c r="AG21" s="34">
        <v>2.6692210430314698</v>
      </c>
      <c r="AH21" s="34">
        <v>2.75</v>
      </c>
      <c r="AI21" s="34">
        <v>1111.1111111111099</v>
      </c>
      <c r="AJ21" s="34">
        <v>0.86</v>
      </c>
      <c r="AK21" s="34">
        <v>0.52</v>
      </c>
      <c r="AL21" s="35">
        <v>122021</v>
      </c>
      <c r="AM21" s="35">
        <v>300.14999999999998</v>
      </c>
      <c r="AN21" s="35">
        <v>1.41622</v>
      </c>
      <c r="AO21" s="35">
        <v>216067</v>
      </c>
      <c r="AP21" s="35">
        <v>302227</v>
      </c>
      <c r="AQ21" s="35">
        <v>287.05500000000001</v>
      </c>
      <c r="AR21" s="35">
        <v>1.39053</v>
      </c>
      <c r="AS21" s="35">
        <v>1022.1</v>
      </c>
      <c r="AT21" s="35">
        <v>346.08499999999998</v>
      </c>
      <c r="AU21" s="35">
        <v>6803.71</v>
      </c>
      <c r="AV21" s="35">
        <v>0</v>
      </c>
      <c r="AW21" s="35">
        <v>0</v>
      </c>
      <c r="AX21" s="35">
        <v>1451900</v>
      </c>
      <c r="AY21" s="35">
        <v>854.952</v>
      </c>
      <c r="AZ21" s="35">
        <v>5.9161400000000004</v>
      </c>
      <c r="BA21" s="35">
        <v>638724</v>
      </c>
      <c r="BB21" s="35">
        <v>884138</v>
      </c>
      <c r="BC21" s="35">
        <v>287.05</v>
      </c>
      <c r="BD21" s="35">
        <v>1.3485</v>
      </c>
      <c r="BE21" s="35">
        <v>1110.72</v>
      </c>
      <c r="BF21" s="35">
        <v>575.24900000000002</v>
      </c>
      <c r="BG21" s="35">
        <v>7192.02</v>
      </c>
      <c r="BH21" s="35">
        <v>265.98099999999999</v>
      </c>
      <c r="BI21" s="35">
        <v>0.46237542351225303</v>
      </c>
      <c r="BJ21" s="36">
        <v>7671900</v>
      </c>
      <c r="BK21" s="35">
        <v>1448.8</v>
      </c>
      <c r="BL21" s="35">
        <v>18.448</v>
      </c>
      <c r="BM21" s="35">
        <v>1162530</v>
      </c>
      <c r="BN21" s="35">
        <v>1578400</v>
      </c>
      <c r="BO21" s="35">
        <v>287.04300000000001</v>
      </c>
      <c r="BP21" s="35">
        <v>1.31257</v>
      </c>
      <c r="BQ21" s="35">
        <v>1205.3800000000001</v>
      </c>
      <c r="BR21" s="35">
        <v>737.28300000000002</v>
      </c>
      <c r="BS21" s="35">
        <v>7328.41</v>
      </c>
      <c r="BT21" s="35">
        <v>0</v>
      </c>
      <c r="BU21" s="35">
        <v>0</v>
      </c>
      <c r="BV21" s="36">
        <v>8851840</v>
      </c>
      <c r="BW21" s="35">
        <v>1498.17</v>
      </c>
      <c r="BX21" s="35">
        <v>20.584199999999999</v>
      </c>
      <c r="BY21" s="35">
        <v>1208880</v>
      </c>
      <c r="BZ21" s="35">
        <v>1638910</v>
      </c>
      <c r="CA21" s="35">
        <v>287.03699999999998</v>
      </c>
      <c r="CB21" s="35">
        <v>1.31081</v>
      </c>
      <c r="CC21" s="35">
        <v>1210.56</v>
      </c>
      <c r="CD21" s="35">
        <v>748.96299999999997</v>
      </c>
      <c r="CE21" s="35">
        <v>7328.41</v>
      </c>
      <c r="CF21" s="35">
        <v>0</v>
      </c>
      <c r="CG21" s="35">
        <v>0</v>
      </c>
      <c r="CH21" s="35">
        <v>4803080</v>
      </c>
      <c r="CI21" s="35">
        <v>1296.29</v>
      </c>
      <c r="CJ21" s="35">
        <v>12.908099999999999</v>
      </c>
      <c r="CK21" s="35">
        <v>1021990</v>
      </c>
      <c r="CL21" s="35">
        <v>1394090</v>
      </c>
      <c r="CM21" s="35">
        <v>287.048</v>
      </c>
      <c r="CN21" s="35">
        <v>1.3187899999999999</v>
      </c>
      <c r="CO21" s="35">
        <v>1187.48</v>
      </c>
      <c r="CP21" s="35">
        <v>699.74099999999999</v>
      </c>
      <c r="CQ21" s="35">
        <v>7328.41</v>
      </c>
      <c r="CR21" s="35">
        <v>699.74</v>
      </c>
      <c r="CS21" s="35">
        <v>0.99999857089980504</v>
      </c>
      <c r="CT21" s="35">
        <v>4552</v>
      </c>
      <c r="CU21" s="35">
        <v>200.131</v>
      </c>
      <c r="CV21" s="35">
        <v>7.9234899999999997E-2</v>
      </c>
      <c r="CW21" s="35">
        <v>144067</v>
      </c>
      <c r="CX21" s="35">
        <v>201517</v>
      </c>
      <c r="CY21" s="35">
        <v>287.05900000000003</v>
      </c>
      <c r="CZ21" s="35">
        <v>1.39053</v>
      </c>
      <c r="DA21" s="35">
        <v>1022.1</v>
      </c>
      <c r="DB21" s="35">
        <v>282.601</v>
      </c>
      <c r="DC21" s="35">
        <v>7328.41</v>
      </c>
      <c r="DD21" s="35">
        <v>1695.52</v>
      </c>
      <c r="DE21" s="35">
        <v>5.9996999999999998</v>
      </c>
      <c r="DF21" s="37">
        <f t="shared" si="1"/>
        <v>10106170.724034647</v>
      </c>
      <c r="DG21" s="38">
        <f t="shared" si="2"/>
        <v>1638911.0352</v>
      </c>
      <c r="DH21" s="37">
        <f t="shared" si="15"/>
        <v>212009.13167444305</v>
      </c>
      <c r="DI21" s="33" t="s">
        <v>183</v>
      </c>
      <c r="DJ21" s="33" t="s">
        <v>183</v>
      </c>
      <c r="DK21" s="33" t="s">
        <v>183</v>
      </c>
      <c r="DL21" s="33" t="s">
        <v>183</v>
      </c>
      <c r="DM21" s="33" t="s">
        <v>183</v>
      </c>
      <c r="DN21" s="33" t="s">
        <v>183</v>
      </c>
      <c r="DO21" s="33" t="s">
        <v>183</v>
      </c>
      <c r="DP21" s="33" t="s">
        <v>183</v>
      </c>
      <c r="DQ21" s="39"/>
    </row>
    <row r="22" spans="1:136" s="33" customFormat="1">
      <c r="A22" s="32">
        <v>18</v>
      </c>
      <c r="B22" s="33" t="s">
        <v>190</v>
      </c>
      <c r="C22" s="33">
        <v>240927</v>
      </c>
      <c r="D22" s="33" t="s">
        <v>184</v>
      </c>
      <c r="E22" s="33" t="s">
        <v>193</v>
      </c>
      <c r="F22" s="33">
        <v>6</v>
      </c>
      <c r="G22" s="33">
        <v>1012.4</v>
      </c>
      <c r="H22" s="33">
        <v>24.8</v>
      </c>
      <c r="I22" s="33">
        <v>50.1</v>
      </c>
      <c r="J22" s="33" t="s">
        <v>151</v>
      </c>
      <c r="K22" s="33">
        <v>200</v>
      </c>
      <c r="L22" s="33" t="s">
        <v>194</v>
      </c>
      <c r="M22" s="33" t="s">
        <v>153</v>
      </c>
      <c r="N22" s="33" t="s">
        <v>154</v>
      </c>
      <c r="O22" s="33">
        <v>0.2</v>
      </c>
      <c r="P22" s="33">
        <v>27</v>
      </c>
      <c r="Q22" s="33">
        <v>0.28000000000000003</v>
      </c>
      <c r="S22" s="33" t="s">
        <v>183</v>
      </c>
      <c r="T22" s="33" t="s">
        <v>183</v>
      </c>
      <c r="U22" s="33" t="s">
        <v>183</v>
      </c>
      <c r="V22" s="33" t="s">
        <v>183</v>
      </c>
      <c r="W22" s="33" t="s">
        <v>183</v>
      </c>
      <c r="X22" s="33" t="s">
        <v>183</v>
      </c>
      <c r="Y22" s="33" t="s">
        <v>183</v>
      </c>
      <c r="Z22" s="33" t="s">
        <v>183</v>
      </c>
      <c r="AA22" s="47">
        <v>1.2057329999999999</v>
      </c>
      <c r="AB22" s="34">
        <f t="shared" si="0"/>
        <v>27</v>
      </c>
      <c r="AC22" s="47">
        <v>122.89709999999999</v>
      </c>
      <c r="AD22" s="47">
        <v>7.5200000000000003E-2</v>
      </c>
      <c r="AE22" s="33" t="s">
        <v>159</v>
      </c>
      <c r="AF22" s="47">
        <v>88.786090000000002</v>
      </c>
      <c r="AG22" s="47">
        <v>2.674261</v>
      </c>
      <c r="AH22" s="47">
        <v>2.92</v>
      </c>
      <c r="AI22" s="47">
        <v>1111.1110000000001</v>
      </c>
      <c r="AJ22" s="47">
        <v>0.96</v>
      </c>
      <c r="AK22" s="47">
        <v>0.52</v>
      </c>
      <c r="AL22" s="35">
        <v>121813</v>
      </c>
      <c r="AM22" s="35">
        <v>300.14999999999998</v>
      </c>
      <c r="AN22" s="35">
        <v>1.41381</v>
      </c>
      <c r="AO22" s="35">
        <v>216067</v>
      </c>
      <c r="AP22" s="35">
        <v>302227</v>
      </c>
      <c r="AQ22" s="35">
        <v>287.05500000000001</v>
      </c>
      <c r="AR22" s="35">
        <v>1.39053</v>
      </c>
      <c r="AS22" s="35">
        <v>1022.1</v>
      </c>
      <c r="AT22" s="35">
        <v>346.08499999999998</v>
      </c>
      <c r="AU22" s="35">
        <v>6804.2</v>
      </c>
      <c r="AV22" s="35">
        <v>0</v>
      </c>
      <c r="AW22" s="35">
        <v>0</v>
      </c>
      <c r="AX22" s="35">
        <v>1449430</v>
      </c>
      <c r="AY22" s="35">
        <v>854.952</v>
      </c>
      <c r="AZ22" s="35">
        <v>5.9060600000000001</v>
      </c>
      <c r="BA22" s="35">
        <v>638724</v>
      </c>
      <c r="BB22" s="35">
        <v>884137</v>
      </c>
      <c r="BC22" s="35">
        <v>287.05</v>
      </c>
      <c r="BD22" s="35">
        <v>1.3485</v>
      </c>
      <c r="BE22" s="35">
        <v>1110.72</v>
      </c>
      <c r="BF22" s="35">
        <v>575.24900000000002</v>
      </c>
      <c r="BG22" s="35">
        <v>7192.51</v>
      </c>
      <c r="BH22" s="35">
        <v>265.98099999999999</v>
      </c>
      <c r="BI22" s="35">
        <v>0.46237542351225303</v>
      </c>
      <c r="BJ22" s="36">
        <v>7658830</v>
      </c>
      <c r="BK22" s="35">
        <v>1448.8</v>
      </c>
      <c r="BL22" s="35">
        <v>18.416499999999999</v>
      </c>
      <c r="BM22" s="35">
        <v>1162530</v>
      </c>
      <c r="BN22" s="35">
        <v>1578400</v>
      </c>
      <c r="BO22" s="35">
        <v>287.04300000000001</v>
      </c>
      <c r="BP22" s="35">
        <v>1.31257</v>
      </c>
      <c r="BQ22" s="35">
        <v>1205.3800000000001</v>
      </c>
      <c r="BR22" s="35">
        <v>737.28300000000002</v>
      </c>
      <c r="BS22" s="35">
        <v>7328.9</v>
      </c>
      <c r="BT22" s="35">
        <v>0</v>
      </c>
      <c r="BU22" s="35">
        <v>0</v>
      </c>
      <c r="BV22" s="36">
        <v>8878610</v>
      </c>
      <c r="BW22" s="35">
        <v>1499.82</v>
      </c>
      <c r="BX22" s="35">
        <v>20.623799999999999</v>
      </c>
      <c r="BY22" s="35">
        <v>1210440</v>
      </c>
      <c r="BZ22" s="35">
        <v>1640940</v>
      </c>
      <c r="CA22" s="35">
        <v>287.03699999999998</v>
      </c>
      <c r="CB22" s="35">
        <v>1.3107500000000001</v>
      </c>
      <c r="CC22" s="35">
        <v>1210.73</v>
      </c>
      <c r="CD22" s="35">
        <v>749.34900000000005</v>
      </c>
      <c r="CE22" s="35">
        <v>7328.9</v>
      </c>
      <c r="CF22" s="35">
        <v>0</v>
      </c>
      <c r="CG22" s="35">
        <v>0</v>
      </c>
      <c r="CH22" s="35">
        <v>4817730</v>
      </c>
      <c r="CI22" s="35">
        <v>1297.77</v>
      </c>
      <c r="CJ22" s="35">
        <v>12.932700000000001</v>
      </c>
      <c r="CK22" s="35">
        <v>1023340</v>
      </c>
      <c r="CL22" s="35">
        <v>1395860</v>
      </c>
      <c r="CM22" s="35">
        <v>287.048</v>
      </c>
      <c r="CN22" s="35">
        <v>1.31873</v>
      </c>
      <c r="CO22" s="35">
        <v>1187.6600000000001</v>
      </c>
      <c r="CP22" s="35">
        <v>700.11800000000005</v>
      </c>
      <c r="CQ22" s="35">
        <v>7328.9</v>
      </c>
      <c r="CR22" s="35">
        <v>700.11699999999996</v>
      </c>
      <c r="CS22" s="35">
        <v>0.99999857166934703</v>
      </c>
      <c r="CT22" s="35">
        <v>4561.33</v>
      </c>
      <c r="CU22" s="35">
        <v>200.34</v>
      </c>
      <c r="CV22" s="35">
        <v>7.9314599999999999E-2</v>
      </c>
      <c r="CW22" s="35">
        <v>144217</v>
      </c>
      <c r="CX22" s="35">
        <v>201727</v>
      </c>
      <c r="CY22" s="35">
        <v>287.05900000000003</v>
      </c>
      <c r="CZ22" s="35">
        <v>1.39053</v>
      </c>
      <c r="DA22" s="35">
        <v>1022.1</v>
      </c>
      <c r="DB22" s="35">
        <v>282.74799999999999</v>
      </c>
      <c r="DC22" s="35">
        <v>7328.9</v>
      </c>
      <c r="DD22" s="35">
        <v>1696.59</v>
      </c>
      <c r="DE22" s="35">
        <v>6.0003799999999998</v>
      </c>
      <c r="DF22" s="37">
        <f t="shared" si="1"/>
        <v>10113673.304898944</v>
      </c>
      <c r="DG22" s="38">
        <f t="shared" si="2"/>
        <v>1640935.8140499999</v>
      </c>
      <c r="DH22" s="37">
        <f t="shared" si="15"/>
        <v>212491.3519577671</v>
      </c>
      <c r="DI22" s="33" t="s">
        <v>183</v>
      </c>
      <c r="DJ22" s="33" t="s">
        <v>183</v>
      </c>
      <c r="DK22" s="33" t="s">
        <v>183</v>
      </c>
      <c r="DL22" s="33" t="s">
        <v>183</v>
      </c>
      <c r="DM22" s="33" t="s">
        <v>183</v>
      </c>
      <c r="DN22" s="33" t="s">
        <v>183</v>
      </c>
      <c r="DO22" s="33" t="s">
        <v>183</v>
      </c>
      <c r="DP22" s="33" t="s">
        <v>183</v>
      </c>
      <c r="DQ22" s="39"/>
    </row>
    <row r="23" spans="1:136" s="33" customFormat="1">
      <c r="A23" s="32">
        <v>19</v>
      </c>
      <c r="B23" s="33" t="s">
        <v>190</v>
      </c>
      <c r="C23" s="33">
        <v>240927</v>
      </c>
      <c r="D23" s="33" t="s">
        <v>160</v>
      </c>
      <c r="E23" s="33" t="s">
        <v>195</v>
      </c>
      <c r="F23" s="33">
        <v>6</v>
      </c>
      <c r="G23" s="33">
        <v>1013.1</v>
      </c>
      <c r="H23" s="33">
        <v>25.2</v>
      </c>
      <c r="I23" s="33">
        <v>50.6</v>
      </c>
      <c r="J23" s="33" t="s">
        <v>151</v>
      </c>
      <c r="K23" s="33">
        <v>200</v>
      </c>
      <c r="L23" s="33" t="s">
        <v>196</v>
      </c>
      <c r="M23" s="33" t="s">
        <v>153</v>
      </c>
      <c r="N23" s="33" t="s">
        <v>154</v>
      </c>
      <c r="O23" s="33">
        <v>0.2</v>
      </c>
      <c r="P23" s="33">
        <v>27</v>
      </c>
      <c r="Q23" s="33">
        <v>0.28000000000000003</v>
      </c>
      <c r="R23" s="33">
        <v>1000000</v>
      </c>
      <c r="S23" s="33" t="s">
        <v>155</v>
      </c>
      <c r="T23" s="33" t="s">
        <v>163</v>
      </c>
      <c r="U23" s="33" t="s">
        <v>157</v>
      </c>
      <c r="V23" s="33">
        <v>65000</v>
      </c>
      <c r="W23" s="33">
        <v>1024</v>
      </c>
      <c r="X23" s="33">
        <v>800</v>
      </c>
      <c r="Y23" s="33">
        <v>200</v>
      </c>
      <c r="Z23" s="33">
        <v>8</v>
      </c>
      <c r="AA23" s="34">
        <v>1.2050329724666899</v>
      </c>
      <c r="AB23" s="34">
        <f t="shared" si="0"/>
        <v>27</v>
      </c>
      <c r="AC23" s="34">
        <v>122.89714393704099</v>
      </c>
      <c r="AD23" s="34">
        <v>7.5199792838793106E-2</v>
      </c>
      <c r="AE23" s="33" t="s">
        <v>159</v>
      </c>
      <c r="AF23" s="34">
        <v>88.786085974317203</v>
      </c>
      <c r="AG23" s="34">
        <v>2.6742605081426198</v>
      </c>
      <c r="AH23" s="34">
        <v>2.92</v>
      </c>
      <c r="AI23" s="34">
        <v>1111.1111111111099</v>
      </c>
      <c r="AJ23" s="34">
        <v>0.96</v>
      </c>
      <c r="AK23" s="34">
        <v>0.52</v>
      </c>
      <c r="AL23" s="35">
        <v>121813</v>
      </c>
      <c r="AM23" s="35">
        <v>300.14999999999998</v>
      </c>
      <c r="AN23" s="35">
        <v>1.41381</v>
      </c>
      <c r="AO23" s="35">
        <v>216067</v>
      </c>
      <c r="AP23" s="35">
        <v>302227</v>
      </c>
      <c r="AQ23" s="35">
        <v>287.05500000000001</v>
      </c>
      <c r="AR23" s="35">
        <v>1.39053</v>
      </c>
      <c r="AS23" s="35">
        <v>1022.1</v>
      </c>
      <c r="AT23" s="35">
        <v>346.08499999999998</v>
      </c>
      <c r="AU23" s="35">
        <v>6804.2</v>
      </c>
      <c r="AV23" s="35">
        <v>0</v>
      </c>
      <c r="AW23" s="35">
        <v>0</v>
      </c>
      <c r="AX23" s="35">
        <v>1449430</v>
      </c>
      <c r="AY23" s="35">
        <v>854.952</v>
      </c>
      <c r="AZ23" s="35">
        <v>5.9060600000000001</v>
      </c>
      <c r="BA23" s="35">
        <v>638724</v>
      </c>
      <c r="BB23" s="35">
        <v>884138</v>
      </c>
      <c r="BC23" s="35">
        <v>287.05</v>
      </c>
      <c r="BD23" s="35">
        <v>1.3485</v>
      </c>
      <c r="BE23" s="35">
        <v>1110.72</v>
      </c>
      <c r="BF23" s="35">
        <v>575.24900000000002</v>
      </c>
      <c r="BG23" s="35">
        <v>7192.51</v>
      </c>
      <c r="BH23" s="35">
        <v>265.98099999999999</v>
      </c>
      <c r="BI23" s="35">
        <v>0.46237542351225303</v>
      </c>
      <c r="BJ23" s="36">
        <v>7658830</v>
      </c>
      <c r="BK23" s="35">
        <v>1448.8</v>
      </c>
      <c r="BL23" s="35">
        <v>18.416499999999999</v>
      </c>
      <c r="BM23" s="35">
        <v>1162530</v>
      </c>
      <c r="BN23" s="35">
        <v>1578400</v>
      </c>
      <c r="BO23" s="35">
        <v>287.04300000000001</v>
      </c>
      <c r="BP23" s="35">
        <v>1.31257</v>
      </c>
      <c r="BQ23" s="35">
        <v>1205.3800000000001</v>
      </c>
      <c r="BR23" s="35">
        <v>737.28300000000002</v>
      </c>
      <c r="BS23" s="35">
        <v>7328.9</v>
      </c>
      <c r="BT23" s="35">
        <v>0</v>
      </c>
      <c r="BU23" s="35">
        <v>0</v>
      </c>
      <c r="BV23" s="36">
        <v>8878610</v>
      </c>
      <c r="BW23" s="35">
        <v>1499.82</v>
      </c>
      <c r="BX23" s="35">
        <v>20.623799999999999</v>
      </c>
      <c r="BY23" s="35">
        <v>1210440</v>
      </c>
      <c r="BZ23" s="35">
        <v>1640940</v>
      </c>
      <c r="CA23" s="35">
        <v>287.03699999999998</v>
      </c>
      <c r="CB23" s="35">
        <v>1.3107500000000001</v>
      </c>
      <c r="CC23" s="35">
        <v>1210.73</v>
      </c>
      <c r="CD23" s="35">
        <v>749.34900000000005</v>
      </c>
      <c r="CE23" s="35">
        <v>7328.9</v>
      </c>
      <c r="CF23" s="35">
        <v>0</v>
      </c>
      <c r="CG23" s="35">
        <v>0</v>
      </c>
      <c r="CH23" s="35">
        <v>4817730</v>
      </c>
      <c r="CI23" s="35">
        <v>1297.77</v>
      </c>
      <c r="CJ23" s="35">
        <v>12.932700000000001</v>
      </c>
      <c r="CK23" s="35">
        <v>1023340</v>
      </c>
      <c r="CL23" s="35">
        <v>1395860</v>
      </c>
      <c r="CM23" s="35">
        <v>287.048</v>
      </c>
      <c r="CN23" s="35">
        <v>1.31873</v>
      </c>
      <c r="CO23" s="35">
        <v>1187.6600000000001</v>
      </c>
      <c r="CP23" s="35">
        <v>700.11800000000005</v>
      </c>
      <c r="CQ23" s="35">
        <v>7328.9</v>
      </c>
      <c r="CR23" s="35">
        <v>700.11699999999996</v>
      </c>
      <c r="CS23" s="35">
        <v>0.99999857166934703</v>
      </c>
      <c r="CT23" s="35">
        <v>4561.33</v>
      </c>
      <c r="CU23" s="35">
        <v>200.34</v>
      </c>
      <c r="CV23" s="35">
        <v>7.9314599999999999E-2</v>
      </c>
      <c r="CW23" s="35">
        <v>144217</v>
      </c>
      <c r="CX23" s="35">
        <v>201727</v>
      </c>
      <c r="CY23" s="35">
        <v>287.05900000000003</v>
      </c>
      <c r="CZ23" s="35">
        <v>1.39053</v>
      </c>
      <c r="DA23" s="35">
        <v>1022.1</v>
      </c>
      <c r="DB23" s="35">
        <v>282.74799999999999</v>
      </c>
      <c r="DC23" s="35">
        <v>7328.9</v>
      </c>
      <c r="DD23" s="35">
        <v>1696.59</v>
      </c>
      <c r="DE23" s="35">
        <v>6.0003799999999998</v>
      </c>
      <c r="DF23" s="37">
        <f t="shared" si="1"/>
        <v>10113673.304898944</v>
      </c>
      <c r="DG23" s="38">
        <f t="shared" si="2"/>
        <v>1640935.8140499999</v>
      </c>
      <c r="DH23" s="37">
        <f t="shared" si="15"/>
        <v>212491.3519577671</v>
      </c>
      <c r="DI23" s="33">
        <v>235</v>
      </c>
      <c r="DJ23" s="33" t="s">
        <v>168</v>
      </c>
      <c r="DK23" s="33">
        <v>32</v>
      </c>
      <c r="DL23" s="39">
        <f t="shared" ref="DL23:DL56" si="16">DK23+AK23/1000*V23</f>
        <v>65.800000000000011</v>
      </c>
      <c r="DM23" s="39">
        <f t="shared" ref="DM23:DM56" si="17">DL23+AH23/1000*V23</f>
        <v>255.6</v>
      </c>
      <c r="DN23" s="48"/>
      <c r="DQ23" s="39"/>
    </row>
    <row r="24" spans="1:136" s="33" customFormat="1">
      <c r="A24" s="32">
        <v>20</v>
      </c>
      <c r="B24" s="33" t="s">
        <v>190</v>
      </c>
      <c r="C24" s="33">
        <v>241007</v>
      </c>
      <c r="D24" s="33" t="s">
        <v>174</v>
      </c>
      <c r="E24" s="33" t="s">
        <v>150</v>
      </c>
      <c r="F24" s="33">
        <v>6</v>
      </c>
      <c r="G24" s="33">
        <v>1022.5</v>
      </c>
      <c r="H24" s="33">
        <v>23.8</v>
      </c>
      <c r="I24" s="33">
        <v>40.200000000000003</v>
      </c>
      <c r="J24" s="33" t="s">
        <v>151</v>
      </c>
      <c r="K24" s="33">
        <v>200</v>
      </c>
      <c r="L24" s="33" t="s">
        <v>197</v>
      </c>
      <c r="M24" s="33" t="s">
        <v>153</v>
      </c>
      <c r="N24" s="33" t="s">
        <v>154</v>
      </c>
      <c r="O24" s="33">
        <v>0.2</v>
      </c>
      <c r="P24" s="33">
        <v>27</v>
      </c>
      <c r="Q24" s="33">
        <v>0.32</v>
      </c>
      <c r="R24" s="33">
        <v>1000000</v>
      </c>
      <c r="S24" s="33" t="s">
        <v>155</v>
      </c>
      <c r="T24" s="33" t="s">
        <v>198</v>
      </c>
      <c r="U24" s="33" t="s">
        <v>157</v>
      </c>
      <c r="V24" s="33">
        <v>1500000</v>
      </c>
      <c r="W24" s="33">
        <v>1024</v>
      </c>
      <c r="X24" s="33">
        <v>32</v>
      </c>
      <c r="Y24" s="33">
        <v>200</v>
      </c>
      <c r="Z24" s="33">
        <v>9.5000000000000001E-2</v>
      </c>
      <c r="AA24" s="34">
        <v>1.20750432381251</v>
      </c>
      <c r="AB24" s="34">
        <f t="shared" si="0"/>
        <v>27</v>
      </c>
      <c r="AC24" s="34">
        <v>123.15369908300799</v>
      </c>
      <c r="AD24" s="34">
        <v>7.3226695204657299E-2</v>
      </c>
      <c r="AE24" s="33" t="s">
        <v>159</v>
      </c>
      <c r="AF24" s="34">
        <v>87.994504913710799</v>
      </c>
      <c r="AG24" s="34">
        <v>2.65018806764667</v>
      </c>
      <c r="AH24" s="34">
        <v>3.06</v>
      </c>
      <c r="AI24" s="34">
        <v>1113.58574610245</v>
      </c>
      <c r="AJ24" s="34">
        <v>0.69099999999999995</v>
      </c>
      <c r="AK24" s="34">
        <v>0.40300000000000002</v>
      </c>
      <c r="AL24" s="35">
        <v>123000</v>
      </c>
      <c r="AM24" s="35">
        <v>300.14999999999998</v>
      </c>
      <c r="AN24" s="35">
        <v>1.4275899999999999</v>
      </c>
      <c r="AO24" s="35">
        <v>216067</v>
      </c>
      <c r="AP24" s="35">
        <v>302226</v>
      </c>
      <c r="AQ24" s="35">
        <v>287.05500000000001</v>
      </c>
      <c r="AR24" s="35">
        <v>1.39053</v>
      </c>
      <c r="AS24" s="35">
        <v>1022.1</v>
      </c>
      <c r="AT24" s="35">
        <v>346.08499999999998</v>
      </c>
      <c r="AU24" s="35">
        <v>6801.42</v>
      </c>
      <c r="AV24" s="35">
        <v>0</v>
      </c>
      <c r="AW24" s="35">
        <v>0</v>
      </c>
      <c r="AX24" s="35">
        <v>1470260</v>
      </c>
      <c r="AY24" s="35">
        <v>857.39499999999998</v>
      </c>
      <c r="AZ24" s="35">
        <v>5.9738699999999998</v>
      </c>
      <c r="BA24" s="35">
        <v>640739</v>
      </c>
      <c r="BB24" s="35">
        <v>886854</v>
      </c>
      <c r="BC24" s="35">
        <v>287.05</v>
      </c>
      <c r="BD24" s="35">
        <v>1.34829</v>
      </c>
      <c r="BE24" s="35">
        <v>1111.23</v>
      </c>
      <c r="BF24" s="35">
        <v>576.024</v>
      </c>
      <c r="BG24" s="35">
        <v>7191.58</v>
      </c>
      <c r="BH24" s="35">
        <v>266.11599999999999</v>
      </c>
      <c r="BI24" s="35">
        <v>0.46198769495715403</v>
      </c>
      <c r="BJ24" s="36">
        <v>7782220</v>
      </c>
      <c r="BK24" s="35">
        <v>1453.69</v>
      </c>
      <c r="BL24" s="35">
        <v>18.650300000000001</v>
      </c>
      <c r="BM24" s="35">
        <v>1167100</v>
      </c>
      <c r="BN24" s="35">
        <v>1584370</v>
      </c>
      <c r="BO24" s="35">
        <v>287.04199999999997</v>
      </c>
      <c r="BP24" s="35">
        <v>1.3123899999999999</v>
      </c>
      <c r="BQ24" s="35">
        <v>1205.8900000000001</v>
      </c>
      <c r="BR24" s="35">
        <v>738.45100000000002</v>
      </c>
      <c r="BS24" s="35">
        <v>7328.42</v>
      </c>
      <c r="BT24" s="35">
        <v>0</v>
      </c>
      <c r="BU24" s="35">
        <v>0</v>
      </c>
      <c r="BV24" s="36">
        <v>8799450</v>
      </c>
      <c r="BW24" s="35">
        <v>1496.12</v>
      </c>
      <c r="BX24" s="35">
        <v>20.490500000000001</v>
      </c>
      <c r="BY24" s="35">
        <v>1206940</v>
      </c>
      <c r="BZ24" s="35">
        <v>1636380</v>
      </c>
      <c r="CA24" s="35">
        <v>287.03699999999998</v>
      </c>
      <c r="CB24" s="35">
        <v>1.31088</v>
      </c>
      <c r="CC24" s="35">
        <v>1210.3399999999999</v>
      </c>
      <c r="CD24" s="35">
        <v>748.48099999999999</v>
      </c>
      <c r="CE24" s="35">
        <v>7328.42</v>
      </c>
      <c r="CF24" s="35">
        <v>0</v>
      </c>
      <c r="CG24" s="35">
        <v>0</v>
      </c>
      <c r="CH24" s="35">
        <v>4774510</v>
      </c>
      <c r="CI24" s="35">
        <v>1294.44</v>
      </c>
      <c r="CJ24" s="35">
        <v>12.849600000000001</v>
      </c>
      <c r="CK24" s="35">
        <v>1020320</v>
      </c>
      <c r="CL24" s="35">
        <v>1391890</v>
      </c>
      <c r="CM24" s="35">
        <v>287.048</v>
      </c>
      <c r="CN24" s="35">
        <v>1.31887</v>
      </c>
      <c r="CO24" s="35">
        <v>1187.25</v>
      </c>
      <c r="CP24" s="35">
        <v>699.27200000000005</v>
      </c>
      <c r="CQ24" s="35">
        <v>7328.42</v>
      </c>
      <c r="CR24" s="35">
        <v>699.27099999999996</v>
      </c>
      <c r="CS24" s="35">
        <v>0.99999856994130998</v>
      </c>
      <c r="CT24" s="35">
        <v>4524.1000000000004</v>
      </c>
      <c r="CU24" s="35">
        <v>199.79300000000001</v>
      </c>
      <c r="CV24" s="35">
        <v>7.8882800000000003E-2</v>
      </c>
      <c r="CW24" s="35">
        <v>143823</v>
      </c>
      <c r="CX24" s="35">
        <v>201175</v>
      </c>
      <c r="CY24" s="35">
        <v>287.05799999999999</v>
      </c>
      <c r="CZ24" s="35">
        <v>1.39053</v>
      </c>
      <c r="DA24" s="35">
        <v>1022.1</v>
      </c>
      <c r="DB24" s="35">
        <v>282.36099999999999</v>
      </c>
      <c r="DC24" s="35">
        <v>7328.43</v>
      </c>
      <c r="DD24" s="35">
        <v>1694.23</v>
      </c>
      <c r="DE24" s="35">
        <v>6.0002199999999997</v>
      </c>
      <c r="DF24" s="37">
        <f t="shared" si="1"/>
        <v>10068180.0746217</v>
      </c>
      <c r="DG24" s="38">
        <f t="shared" si="2"/>
        <v>1636382.6464500001</v>
      </c>
      <c r="DH24" s="49"/>
      <c r="DI24" s="33">
        <v>239</v>
      </c>
      <c r="DJ24" s="33" t="s">
        <v>168</v>
      </c>
      <c r="DK24" s="33">
        <v>685</v>
      </c>
      <c r="DL24" s="39">
        <f t="shared" si="16"/>
        <v>1289.5</v>
      </c>
      <c r="DM24" s="39">
        <f t="shared" si="17"/>
        <v>5879.5</v>
      </c>
      <c r="DN24" s="48"/>
      <c r="DQ24" s="39">
        <v>20</v>
      </c>
      <c r="DR24" s="38">
        <f t="shared" ref="DR24:DR29" si="18">DQ24/100*DF24</f>
        <v>2013636.01492434</v>
      </c>
      <c r="DS24" s="33" t="s">
        <v>199</v>
      </c>
    </row>
    <row r="25" spans="1:136" s="33" customFormat="1">
      <c r="A25" s="32">
        <v>21</v>
      </c>
      <c r="B25" s="33" t="s">
        <v>173</v>
      </c>
      <c r="C25" s="33">
        <v>241029</v>
      </c>
      <c r="D25" s="33" t="s">
        <v>174</v>
      </c>
      <c r="E25" s="33" t="s">
        <v>150</v>
      </c>
      <c r="F25" s="33">
        <v>6</v>
      </c>
      <c r="G25" s="33">
        <v>1019.2</v>
      </c>
      <c r="H25" s="33">
        <v>23.2</v>
      </c>
      <c r="I25" s="33">
        <v>46.3</v>
      </c>
      <c r="J25" s="33" t="s">
        <v>151</v>
      </c>
      <c r="K25" s="33">
        <v>200</v>
      </c>
      <c r="L25" s="33" t="s">
        <v>200</v>
      </c>
      <c r="M25" s="33" t="s">
        <v>153</v>
      </c>
      <c r="N25" s="33" t="s">
        <v>154</v>
      </c>
      <c r="O25" s="33">
        <v>0.2</v>
      </c>
      <c r="P25" s="33">
        <v>25</v>
      </c>
      <c r="Q25" s="33">
        <v>0.27</v>
      </c>
      <c r="R25" s="33">
        <v>1000000</v>
      </c>
      <c r="S25" s="33" t="s">
        <v>155</v>
      </c>
      <c r="T25" s="33" t="s">
        <v>201</v>
      </c>
      <c r="U25" s="33" t="s">
        <v>157</v>
      </c>
      <c r="V25" s="33">
        <v>1500000</v>
      </c>
      <c r="W25" s="33">
        <v>1280</v>
      </c>
      <c r="X25" s="33">
        <v>32</v>
      </c>
      <c r="Y25" s="33" t="s">
        <v>158</v>
      </c>
      <c r="Z25" s="33">
        <v>9.5000000000000001E-2</v>
      </c>
      <c r="AA25" s="34">
        <v>1.17939916701244</v>
      </c>
      <c r="AB25" s="34">
        <f t="shared" si="0"/>
        <v>25</v>
      </c>
      <c r="AC25" s="34">
        <v>119.065840998005</v>
      </c>
      <c r="AD25" s="34">
        <v>7.2047594711963203E-2</v>
      </c>
      <c r="AE25" s="33" t="s">
        <v>159</v>
      </c>
      <c r="AF25" s="34"/>
      <c r="AG25" s="34"/>
      <c r="AH25" s="34">
        <v>2.589</v>
      </c>
      <c r="AI25" s="34">
        <v>1113.58574610245</v>
      </c>
      <c r="AJ25" s="34">
        <v>0.68500000000000005</v>
      </c>
      <c r="AK25" s="34">
        <v>0.38600000000000001</v>
      </c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>
        <v>0</v>
      </c>
      <c r="AW25" s="35">
        <v>0</v>
      </c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  <c r="BK25" s="35"/>
      <c r="BL25" s="35"/>
      <c r="BM25" s="35"/>
      <c r="BN25" s="35"/>
      <c r="BO25" s="35"/>
      <c r="BP25" s="35"/>
      <c r="BQ25" s="35"/>
      <c r="BR25" s="35"/>
      <c r="BS25" s="35"/>
      <c r="BT25" s="35">
        <v>0</v>
      </c>
      <c r="BU25" s="35">
        <v>0</v>
      </c>
      <c r="BV25" s="36"/>
      <c r="BW25" s="35"/>
      <c r="BX25" s="35"/>
      <c r="BY25" s="35"/>
      <c r="BZ25" s="35"/>
      <c r="CA25" s="35"/>
      <c r="CB25" s="35"/>
      <c r="CC25" s="35"/>
      <c r="CD25" s="35"/>
      <c r="CE25" s="35"/>
      <c r="CF25" s="35">
        <v>0</v>
      </c>
      <c r="CG25" s="35">
        <v>0</v>
      </c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8"/>
      <c r="DG25" s="38"/>
      <c r="DH25" s="49"/>
      <c r="DI25" s="33">
        <v>241</v>
      </c>
      <c r="DJ25" s="33" t="s">
        <v>168</v>
      </c>
      <c r="DK25" s="33">
        <v>1266</v>
      </c>
      <c r="DL25" s="39">
        <f t="shared" si="16"/>
        <v>1845</v>
      </c>
      <c r="DM25" s="39">
        <f t="shared" si="17"/>
        <v>5728.5</v>
      </c>
      <c r="DN25" s="48"/>
      <c r="DQ25" s="39">
        <v>20</v>
      </c>
      <c r="DR25" s="38">
        <f t="shared" si="18"/>
        <v>0</v>
      </c>
      <c r="DS25" s="33" t="s">
        <v>199</v>
      </c>
    </row>
    <row r="26" spans="1:136" s="41" customFormat="1">
      <c r="A26" s="40">
        <v>22</v>
      </c>
      <c r="B26" s="41" t="s">
        <v>173</v>
      </c>
      <c r="C26" s="41">
        <v>241030</v>
      </c>
      <c r="D26" s="41" t="s">
        <v>174</v>
      </c>
      <c r="E26" s="41" t="s">
        <v>150</v>
      </c>
      <c r="F26" s="41">
        <v>6</v>
      </c>
      <c r="G26" s="41">
        <v>1023.3</v>
      </c>
      <c r="H26" s="41">
        <v>23.2</v>
      </c>
      <c r="I26" s="41">
        <v>45.8</v>
      </c>
      <c r="J26" s="41" t="s">
        <v>151</v>
      </c>
      <c r="K26" s="41">
        <v>200</v>
      </c>
      <c r="L26" s="41" t="s">
        <v>162</v>
      </c>
      <c r="M26" s="41" t="s">
        <v>153</v>
      </c>
      <c r="N26" s="41" t="s">
        <v>154</v>
      </c>
      <c r="O26" s="41">
        <v>0.2</v>
      </c>
      <c r="P26" s="41">
        <v>25</v>
      </c>
      <c r="Q26" s="41">
        <v>0.28999999999999998</v>
      </c>
      <c r="R26" s="41">
        <v>1000000</v>
      </c>
      <c r="S26" s="41" t="s">
        <v>155</v>
      </c>
      <c r="T26" s="41" t="s">
        <v>167</v>
      </c>
      <c r="U26" s="41" t="s">
        <v>157</v>
      </c>
      <c r="V26" s="41">
        <v>1500000</v>
      </c>
      <c r="W26" s="41">
        <v>1280</v>
      </c>
      <c r="X26" s="41">
        <v>32</v>
      </c>
      <c r="Y26" s="41" t="s">
        <v>158</v>
      </c>
      <c r="Z26" s="41">
        <v>9.5000000000000001E-2</v>
      </c>
      <c r="AA26" s="42">
        <v>1.1855009655757101</v>
      </c>
      <c r="AB26" s="42">
        <f t="shared" si="0"/>
        <v>25</v>
      </c>
      <c r="AC26" s="42">
        <v>44.586460573846701</v>
      </c>
      <c r="AD26" s="42">
        <v>6.1370431520154201E-2</v>
      </c>
      <c r="AE26" s="41" t="s">
        <v>159</v>
      </c>
      <c r="AF26" s="42"/>
      <c r="AG26" s="42"/>
      <c r="AH26" s="42">
        <v>2.5150000000000001</v>
      </c>
      <c r="AI26" s="42">
        <v>841.75084175084203</v>
      </c>
      <c r="AJ26" s="42">
        <v>0.876</v>
      </c>
      <c r="AK26" s="42">
        <v>0.38300000000000001</v>
      </c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>
        <v>0</v>
      </c>
      <c r="AW26" s="43">
        <v>0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36"/>
      <c r="BK26" s="43"/>
      <c r="BL26" s="43"/>
      <c r="BM26" s="43"/>
      <c r="BN26" s="43"/>
      <c r="BO26" s="43"/>
      <c r="BP26" s="43"/>
      <c r="BQ26" s="43"/>
      <c r="BR26" s="43"/>
      <c r="BS26" s="43"/>
      <c r="BT26" s="43">
        <v>0</v>
      </c>
      <c r="BU26" s="43">
        <v>0</v>
      </c>
      <c r="BV26" s="36"/>
      <c r="BW26" s="43"/>
      <c r="BX26" s="43"/>
      <c r="BY26" s="43"/>
      <c r="BZ26" s="43"/>
      <c r="CA26" s="43"/>
      <c r="CB26" s="43"/>
      <c r="CC26" s="43"/>
      <c r="CD26" s="43"/>
      <c r="CE26" s="43"/>
      <c r="CF26" s="43">
        <v>0</v>
      </c>
      <c r="CG26" s="43">
        <v>0</v>
      </c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5"/>
      <c r="DG26" s="45"/>
      <c r="DH26" s="50"/>
      <c r="DI26" s="41">
        <v>243</v>
      </c>
      <c r="DJ26" s="41" t="s">
        <v>168</v>
      </c>
      <c r="DK26" s="41">
        <v>891</v>
      </c>
      <c r="DL26" s="46">
        <f t="shared" si="16"/>
        <v>1465.5</v>
      </c>
      <c r="DM26" s="46">
        <f t="shared" si="17"/>
        <v>5238</v>
      </c>
      <c r="DN26" s="51"/>
      <c r="DO26" s="52"/>
      <c r="DP26" s="52"/>
      <c r="DQ26" s="46">
        <v>30</v>
      </c>
      <c r="DR26" s="45">
        <f t="shared" si="18"/>
        <v>0</v>
      </c>
      <c r="DS26" s="41" t="s">
        <v>202</v>
      </c>
    </row>
    <row r="27" spans="1:136" s="41" customFormat="1">
      <c r="A27" s="40">
        <v>23</v>
      </c>
      <c r="B27" s="41" t="s">
        <v>173</v>
      </c>
      <c r="C27" s="41">
        <v>241030</v>
      </c>
      <c r="D27" s="41" t="s">
        <v>174</v>
      </c>
      <c r="E27" s="41" t="s">
        <v>150</v>
      </c>
      <c r="F27" s="41">
        <v>6</v>
      </c>
      <c r="G27" s="41">
        <v>1021.6</v>
      </c>
      <c r="H27" s="41">
        <v>23.4</v>
      </c>
      <c r="I27" s="41">
        <v>44.8</v>
      </c>
      <c r="J27" s="41" t="s">
        <v>151</v>
      </c>
      <c r="K27" s="41">
        <v>200</v>
      </c>
      <c r="L27" s="41" t="s">
        <v>162</v>
      </c>
      <c r="M27" s="41" t="s">
        <v>153</v>
      </c>
      <c r="N27" s="41" t="s">
        <v>154</v>
      </c>
      <c r="O27" s="41">
        <v>0.2</v>
      </c>
      <c r="P27" s="41">
        <v>25</v>
      </c>
      <c r="Q27" s="41">
        <v>0.28999999999999998</v>
      </c>
      <c r="R27" s="41">
        <v>1000000</v>
      </c>
      <c r="S27" s="41" t="s">
        <v>155</v>
      </c>
      <c r="T27" s="41" t="s">
        <v>167</v>
      </c>
      <c r="U27" s="41" t="s">
        <v>157</v>
      </c>
      <c r="V27" s="41">
        <v>1500000</v>
      </c>
      <c r="W27" s="41">
        <v>1280</v>
      </c>
      <c r="X27" s="41">
        <v>32</v>
      </c>
      <c r="Y27" s="41" t="s">
        <v>158</v>
      </c>
      <c r="Z27" s="41">
        <v>9.5000000000000001E-2</v>
      </c>
      <c r="AA27" s="42">
        <v>1.18287056894148</v>
      </c>
      <c r="AB27" s="42">
        <f t="shared" si="0"/>
        <v>25</v>
      </c>
      <c r="AC27" s="42">
        <v>46.975979231147598</v>
      </c>
      <c r="AD27" s="42">
        <v>7.3939215649754794E-2</v>
      </c>
      <c r="AE27" s="41" t="s">
        <v>159</v>
      </c>
      <c r="AF27" s="42"/>
      <c r="AG27" s="42"/>
      <c r="AH27" s="42">
        <v>2.488</v>
      </c>
      <c r="AI27" s="42">
        <v>840.33613445378205</v>
      </c>
      <c r="AJ27" s="42">
        <v>0.873</v>
      </c>
      <c r="AK27" s="42">
        <v>0.44700000000000001</v>
      </c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>
        <v>0</v>
      </c>
      <c r="AW27" s="43">
        <v>0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36"/>
      <c r="BK27" s="43"/>
      <c r="BL27" s="43"/>
      <c r="BM27" s="43"/>
      <c r="BN27" s="43"/>
      <c r="BO27" s="43"/>
      <c r="BP27" s="43"/>
      <c r="BQ27" s="43"/>
      <c r="BR27" s="43"/>
      <c r="BS27" s="43"/>
      <c r="BT27" s="43">
        <v>0</v>
      </c>
      <c r="BU27" s="43">
        <v>0</v>
      </c>
      <c r="BV27" s="36"/>
      <c r="BW27" s="43"/>
      <c r="BX27" s="43"/>
      <c r="BY27" s="43"/>
      <c r="BZ27" s="43"/>
      <c r="CA27" s="43"/>
      <c r="CB27" s="43"/>
      <c r="CC27" s="43"/>
      <c r="CD27" s="43"/>
      <c r="CE27" s="43"/>
      <c r="CF27" s="43">
        <v>0</v>
      </c>
      <c r="CG27" s="43">
        <v>0</v>
      </c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5"/>
      <c r="DG27" s="45"/>
      <c r="DH27" s="50"/>
      <c r="DI27" s="41">
        <v>245</v>
      </c>
      <c r="DJ27" s="41" t="s">
        <v>168</v>
      </c>
      <c r="DK27" s="41">
        <v>1267</v>
      </c>
      <c r="DL27" s="46">
        <f t="shared" si="16"/>
        <v>1937.5</v>
      </c>
      <c r="DM27" s="46">
        <f t="shared" si="17"/>
        <v>5669.5</v>
      </c>
      <c r="DN27" s="51"/>
      <c r="DO27" s="50"/>
      <c r="DP27" s="50"/>
      <c r="DQ27" s="46">
        <v>27</v>
      </c>
      <c r="DR27" s="45">
        <f t="shared" si="18"/>
        <v>0</v>
      </c>
      <c r="DS27" s="41" t="s">
        <v>202</v>
      </c>
    </row>
    <row r="28" spans="1:136" s="41" customFormat="1">
      <c r="A28" s="40">
        <v>24</v>
      </c>
      <c r="B28" s="41" t="s">
        <v>173</v>
      </c>
      <c r="C28" s="41">
        <v>241030</v>
      </c>
      <c r="D28" s="41" t="s">
        <v>174</v>
      </c>
      <c r="E28" s="41" t="s">
        <v>150</v>
      </c>
      <c r="F28" s="41">
        <v>6</v>
      </c>
      <c r="G28" s="41">
        <v>1023.3</v>
      </c>
      <c r="H28" s="41">
        <v>23.4</v>
      </c>
      <c r="I28" s="41">
        <v>47.9</v>
      </c>
      <c r="J28" s="41" t="s">
        <v>151</v>
      </c>
      <c r="K28" s="41">
        <v>200</v>
      </c>
      <c r="L28" s="41" t="s">
        <v>162</v>
      </c>
      <c r="M28" s="41" t="s">
        <v>153</v>
      </c>
      <c r="N28" s="41" t="s">
        <v>154</v>
      </c>
      <c r="O28" s="41">
        <v>-0.3</v>
      </c>
      <c r="P28" s="41">
        <v>25</v>
      </c>
      <c r="Q28" s="41">
        <v>0.28999999999999998</v>
      </c>
      <c r="R28" s="41">
        <v>1000000</v>
      </c>
      <c r="S28" s="41" t="s">
        <v>155</v>
      </c>
      <c r="T28" s="41" t="s">
        <v>172</v>
      </c>
      <c r="U28" s="41" t="s">
        <v>157</v>
      </c>
      <c r="V28" s="41">
        <v>1500000</v>
      </c>
      <c r="W28" s="41">
        <v>1280</v>
      </c>
      <c r="X28" s="41">
        <v>32</v>
      </c>
      <c r="Y28" s="41" t="s">
        <v>158</v>
      </c>
      <c r="Z28" s="41">
        <v>9.5000000000000001E-2</v>
      </c>
      <c r="AA28" s="42">
        <v>0.68070710104976995</v>
      </c>
      <c r="AB28" s="42">
        <f t="shared" si="0"/>
        <v>25</v>
      </c>
      <c r="AC28" s="42">
        <v>44.9376349320043</v>
      </c>
      <c r="AD28" s="42">
        <v>7.3962960890068194E-2</v>
      </c>
      <c r="AE28" s="41" t="s">
        <v>159</v>
      </c>
      <c r="AF28" s="42"/>
      <c r="AG28" s="42"/>
      <c r="AH28" s="42">
        <v>2.4350000000000001</v>
      </c>
      <c r="AI28" s="42">
        <v>943.39622641509402</v>
      </c>
      <c r="AJ28" s="42">
        <v>0.83799999999999997</v>
      </c>
      <c r="AK28" s="42">
        <v>0.47</v>
      </c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>
        <v>0</v>
      </c>
      <c r="AW28" s="43">
        <v>0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36"/>
      <c r="BK28" s="43"/>
      <c r="BL28" s="43"/>
      <c r="BM28" s="43"/>
      <c r="BN28" s="43"/>
      <c r="BO28" s="43"/>
      <c r="BP28" s="43"/>
      <c r="BQ28" s="43"/>
      <c r="BR28" s="43"/>
      <c r="BS28" s="43"/>
      <c r="BT28" s="43">
        <v>0</v>
      </c>
      <c r="BU28" s="43">
        <v>0</v>
      </c>
      <c r="BV28" s="36"/>
      <c r="BW28" s="43"/>
      <c r="BX28" s="43"/>
      <c r="BY28" s="43"/>
      <c r="BZ28" s="43"/>
      <c r="CA28" s="43"/>
      <c r="CB28" s="43"/>
      <c r="CC28" s="43"/>
      <c r="CD28" s="43"/>
      <c r="CE28" s="43"/>
      <c r="CF28" s="43">
        <v>0</v>
      </c>
      <c r="CG28" s="43">
        <v>0</v>
      </c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5"/>
      <c r="DG28" s="45"/>
      <c r="DH28" s="50"/>
      <c r="DI28" s="41">
        <v>248</v>
      </c>
      <c r="DJ28" s="41" t="s">
        <v>168</v>
      </c>
      <c r="DK28" s="41">
        <v>1103</v>
      </c>
      <c r="DL28" s="46">
        <f t="shared" si="16"/>
        <v>1808</v>
      </c>
      <c r="DM28" s="46">
        <f t="shared" si="17"/>
        <v>5460.5</v>
      </c>
      <c r="DN28" s="51"/>
      <c r="DO28" s="52"/>
      <c r="DP28" s="52"/>
      <c r="DQ28" s="46">
        <v>40</v>
      </c>
      <c r="DR28" s="45">
        <f t="shared" si="18"/>
        <v>0</v>
      </c>
      <c r="DS28" s="41" t="s">
        <v>202</v>
      </c>
    </row>
    <row r="29" spans="1:136" s="54" customFormat="1">
      <c r="A29" s="53">
        <v>25</v>
      </c>
      <c r="B29" s="54" t="s">
        <v>165</v>
      </c>
      <c r="C29" s="54">
        <v>241101</v>
      </c>
      <c r="D29" s="54" t="s">
        <v>174</v>
      </c>
      <c r="E29" s="54" t="s">
        <v>150</v>
      </c>
      <c r="F29" s="54">
        <v>6</v>
      </c>
      <c r="G29" s="54">
        <v>1017.2</v>
      </c>
      <c r="H29" s="54">
        <v>23</v>
      </c>
      <c r="I29" s="54">
        <v>46.2</v>
      </c>
      <c r="J29" s="54" t="s">
        <v>151</v>
      </c>
      <c r="K29" s="54">
        <v>200</v>
      </c>
      <c r="L29" s="54" t="s">
        <v>203</v>
      </c>
      <c r="M29" s="54" t="s">
        <v>153</v>
      </c>
      <c r="N29" s="54" t="s">
        <v>154</v>
      </c>
      <c r="O29" s="54">
        <v>0</v>
      </c>
      <c r="P29" s="54">
        <v>25</v>
      </c>
      <c r="Q29" s="54">
        <v>0.33</v>
      </c>
      <c r="R29" s="54">
        <v>2500000</v>
      </c>
      <c r="S29" s="54" t="s">
        <v>155</v>
      </c>
      <c r="T29" s="54" t="s">
        <v>170</v>
      </c>
      <c r="U29" s="54" t="s">
        <v>157</v>
      </c>
      <c r="V29" s="54">
        <v>1500000</v>
      </c>
      <c r="W29" s="54">
        <v>1280</v>
      </c>
      <c r="X29" s="54">
        <v>32</v>
      </c>
      <c r="Y29" s="54" t="s">
        <v>158</v>
      </c>
      <c r="Z29" s="54">
        <v>9.5000000000000001E-2</v>
      </c>
      <c r="AA29" s="55">
        <v>0.99814319719718503</v>
      </c>
      <c r="AB29" s="55">
        <f t="shared" si="0"/>
        <v>25</v>
      </c>
      <c r="AC29" s="55">
        <v>119.78001338406401</v>
      </c>
      <c r="AD29" s="55">
        <v>6.6086566767075902E-2</v>
      </c>
      <c r="AE29" s="54" t="s">
        <v>159</v>
      </c>
      <c r="AF29" s="55"/>
      <c r="AG29" s="55"/>
      <c r="AH29" s="55">
        <v>2.8403999999999998</v>
      </c>
      <c r="AI29" s="55">
        <v>1152.0737327188899</v>
      </c>
      <c r="AJ29" s="55">
        <v>0.62280000000000002</v>
      </c>
      <c r="AK29" s="55">
        <v>0.37119999999999997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>
        <v>0</v>
      </c>
      <c r="AW29" s="56">
        <v>0</v>
      </c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36"/>
      <c r="BK29" s="56"/>
      <c r="BL29" s="56"/>
      <c r="BM29" s="56"/>
      <c r="BN29" s="56"/>
      <c r="BO29" s="56"/>
      <c r="BP29" s="56"/>
      <c r="BQ29" s="56"/>
      <c r="BR29" s="56"/>
      <c r="BS29" s="56"/>
      <c r="BT29" s="56">
        <v>0</v>
      </c>
      <c r="BU29" s="56">
        <v>0</v>
      </c>
      <c r="BV29" s="36"/>
      <c r="BW29" s="56"/>
      <c r="BX29" s="56"/>
      <c r="BY29" s="56"/>
      <c r="BZ29" s="56"/>
      <c r="CA29" s="56"/>
      <c r="CB29" s="56"/>
      <c r="CC29" s="56"/>
      <c r="CD29" s="56"/>
      <c r="CE29" s="56"/>
      <c r="CF29" s="56">
        <v>0</v>
      </c>
      <c r="CG29" s="56">
        <v>0</v>
      </c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7"/>
      <c r="DG29" s="57"/>
      <c r="DH29" s="58"/>
      <c r="DI29" s="54">
        <v>250</v>
      </c>
      <c r="DJ29" s="54" t="s">
        <v>168</v>
      </c>
      <c r="DK29" s="54">
        <v>2610</v>
      </c>
      <c r="DL29" s="59">
        <f t="shared" si="16"/>
        <v>3166.8</v>
      </c>
      <c r="DM29" s="59">
        <f t="shared" si="17"/>
        <v>7427.4</v>
      </c>
      <c r="DN29" s="60"/>
      <c r="DO29" s="60"/>
      <c r="DP29" s="60"/>
      <c r="DQ29" s="59">
        <v>22</v>
      </c>
      <c r="DR29" s="57">
        <f t="shared" si="18"/>
        <v>0</v>
      </c>
      <c r="DS29" s="54" t="s">
        <v>199</v>
      </c>
    </row>
    <row r="30" spans="1:136" s="41" customFormat="1">
      <c r="A30" s="40">
        <v>28</v>
      </c>
      <c r="B30" s="41" t="s">
        <v>204</v>
      </c>
      <c r="C30" s="41">
        <v>241111</v>
      </c>
      <c r="D30" s="41" t="s">
        <v>174</v>
      </c>
      <c r="E30" s="41" t="s">
        <v>150</v>
      </c>
      <c r="F30" s="41">
        <v>6</v>
      </c>
      <c r="G30" s="41">
        <v>1018</v>
      </c>
      <c r="H30" s="41">
        <v>21</v>
      </c>
      <c r="I30" s="41">
        <v>47</v>
      </c>
      <c r="J30" s="41" t="s">
        <v>151</v>
      </c>
      <c r="K30" s="41">
        <v>200</v>
      </c>
      <c r="L30" s="41" t="s">
        <v>205</v>
      </c>
      <c r="M30" s="41" t="s">
        <v>153</v>
      </c>
      <c r="N30" s="41" t="s">
        <v>154</v>
      </c>
      <c r="O30" s="41">
        <v>-0.42</v>
      </c>
      <c r="P30" s="41">
        <v>25</v>
      </c>
      <c r="Q30" s="41">
        <v>0.35</v>
      </c>
      <c r="R30" s="41">
        <v>2500000</v>
      </c>
      <c r="S30" s="41" t="s">
        <v>155</v>
      </c>
      <c r="T30" s="41" t="s">
        <v>206</v>
      </c>
      <c r="U30" s="41" t="s">
        <v>157</v>
      </c>
      <c r="V30" s="41">
        <v>1500000</v>
      </c>
      <c r="W30" s="41">
        <v>1280</v>
      </c>
      <c r="X30" s="41">
        <v>32</v>
      </c>
      <c r="Y30" s="41" t="s">
        <v>158</v>
      </c>
      <c r="Z30" s="41">
        <v>9.5000000000000001E-2</v>
      </c>
      <c r="AA30" s="42">
        <v>0.55486958577770895</v>
      </c>
      <c r="AB30" s="42">
        <f t="shared" si="0"/>
        <v>25</v>
      </c>
      <c r="AC30" s="42">
        <v>119.40386821718199</v>
      </c>
      <c r="AD30" s="42">
        <v>0.13417500899500501</v>
      </c>
      <c r="AE30" s="41" t="s">
        <v>159</v>
      </c>
      <c r="AF30" s="42"/>
      <c r="AG30" s="42"/>
      <c r="AH30" s="42">
        <v>2.9535999999999998</v>
      </c>
      <c r="AI30" s="42">
        <v>1283.3675564681701</v>
      </c>
      <c r="AJ30" s="42">
        <v>4.9960000000000004</v>
      </c>
      <c r="AK30" s="42">
        <v>1.5307999999999999</v>
      </c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>
        <v>0</v>
      </c>
      <c r="AW30" s="43">
        <v>0</v>
      </c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36"/>
      <c r="BK30" s="43"/>
      <c r="BL30" s="43"/>
      <c r="BM30" s="43"/>
      <c r="BN30" s="43"/>
      <c r="BO30" s="43"/>
      <c r="BP30" s="43"/>
      <c r="BQ30" s="43"/>
      <c r="BR30" s="43"/>
      <c r="BS30" s="43"/>
      <c r="BT30" s="43">
        <v>0</v>
      </c>
      <c r="BU30" s="43">
        <v>0</v>
      </c>
      <c r="BV30" s="36"/>
      <c r="BW30" s="43"/>
      <c r="BX30" s="43"/>
      <c r="BY30" s="43"/>
      <c r="BZ30" s="43"/>
      <c r="CA30" s="43"/>
      <c r="CB30" s="43"/>
      <c r="CC30" s="43"/>
      <c r="CD30" s="43"/>
      <c r="CE30" s="43"/>
      <c r="CF30" s="43">
        <v>0</v>
      </c>
      <c r="CG30" s="43">
        <v>0</v>
      </c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5"/>
      <c r="DG30" s="45"/>
      <c r="DH30" s="45"/>
      <c r="DI30" s="41">
        <v>253</v>
      </c>
      <c r="DJ30" s="41" t="s">
        <v>168</v>
      </c>
      <c r="DK30" s="41">
        <v>1545</v>
      </c>
      <c r="DL30" s="46">
        <f t="shared" si="16"/>
        <v>3841.2</v>
      </c>
      <c r="DM30" s="46">
        <f t="shared" si="17"/>
        <v>8271.5999999999985</v>
      </c>
      <c r="DN30" s="51"/>
      <c r="DO30" s="51"/>
      <c r="DP30" s="51"/>
      <c r="DQ30" s="46"/>
      <c r="DS30" s="51" t="s">
        <v>207</v>
      </c>
    </row>
    <row r="31" spans="1:136" s="41" customFormat="1">
      <c r="A31" s="40">
        <v>29</v>
      </c>
      <c r="B31" s="41" t="s">
        <v>204</v>
      </c>
      <c r="C31" s="41">
        <v>241113</v>
      </c>
      <c r="D31" s="41" t="s">
        <v>174</v>
      </c>
      <c r="E31" s="41" t="s">
        <v>150</v>
      </c>
      <c r="F31" s="41">
        <v>6</v>
      </c>
      <c r="G31" s="41">
        <v>1021.9</v>
      </c>
      <c r="H31" s="41">
        <v>20.8</v>
      </c>
      <c r="I31" s="41">
        <v>47.8</v>
      </c>
      <c r="J31" s="41" t="s">
        <v>151</v>
      </c>
      <c r="K31" s="41">
        <v>210</v>
      </c>
      <c r="L31" s="41" t="s">
        <v>208</v>
      </c>
      <c r="M31" s="41" t="s">
        <v>153</v>
      </c>
      <c r="N31" s="41" t="s">
        <v>154</v>
      </c>
      <c r="O31" s="41">
        <v>-0.42</v>
      </c>
      <c r="P31" s="41">
        <v>23</v>
      </c>
      <c r="Q31" s="41">
        <v>0.28999999999999998</v>
      </c>
      <c r="R31" s="41">
        <v>2500000</v>
      </c>
      <c r="S31" s="41" t="s">
        <v>155</v>
      </c>
      <c r="T31" s="41" t="s">
        <v>209</v>
      </c>
      <c r="U31" s="41" t="s">
        <v>157</v>
      </c>
      <c r="V31" s="41">
        <v>1500000</v>
      </c>
      <c r="W31" s="41">
        <v>1280</v>
      </c>
      <c r="X31" s="41">
        <v>32</v>
      </c>
      <c r="Y31" s="41" t="s">
        <v>158</v>
      </c>
      <c r="Z31" s="41">
        <v>9.5000000000000001E-2</v>
      </c>
      <c r="AA31" s="42">
        <v>0.55424348135694701</v>
      </c>
      <c r="AB31" s="42">
        <f t="shared" si="0"/>
        <v>23</v>
      </c>
      <c r="AC31" s="42">
        <v>121.858877394129</v>
      </c>
      <c r="AD31" s="42">
        <v>6.80779654353625E-2</v>
      </c>
      <c r="AE31" s="41" t="s">
        <v>159</v>
      </c>
      <c r="AF31" s="42"/>
      <c r="AG31" s="42"/>
      <c r="AH31" s="42">
        <v>1.6192</v>
      </c>
      <c r="AI31" s="42">
        <v>1286.00823045268</v>
      </c>
      <c r="AJ31" s="42">
        <v>2.3696000000000002</v>
      </c>
      <c r="AK31" s="42">
        <v>2.5708000000000002</v>
      </c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>
        <v>0</v>
      </c>
      <c r="AW31" s="43">
        <v>0</v>
      </c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36"/>
      <c r="BK31" s="43"/>
      <c r="BL31" s="43"/>
      <c r="BM31" s="43"/>
      <c r="BN31" s="43"/>
      <c r="BO31" s="43"/>
      <c r="BP31" s="43"/>
      <c r="BQ31" s="43"/>
      <c r="BR31" s="43"/>
      <c r="BS31" s="43"/>
      <c r="BT31" s="43">
        <v>0</v>
      </c>
      <c r="BU31" s="43">
        <v>0</v>
      </c>
      <c r="BV31" s="36"/>
      <c r="BW31" s="43"/>
      <c r="BX31" s="43"/>
      <c r="BY31" s="43"/>
      <c r="BZ31" s="43"/>
      <c r="CA31" s="43"/>
      <c r="CB31" s="43"/>
      <c r="CC31" s="43"/>
      <c r="CD31" s="43"/>
      <c r="CE31" s="43"/>
      <c r="CF31" s="43">
        <v>0</v>
      </c>
      <c r="CG31" s="43">
        <v>0</v>
      </c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5"/>
      <c r="DG31" s="50"/>
      <c r="DH31" s="50"/>
      <c r="DI31" s="41">
        <v>255</v>
      </c>
      <c r="DJ31" s="41" t="s">
        <v>168</v>
      </c>
      <c r="DK31" s="41">
        <v>995</v>
      </c>
      <c r="DL31" s="46">
        <f t="shared" si="16"/>
        <v>4851.2000000000007</v>
      </c>
      <c r="DM31" s="46">
        <f t="shared" si="17"/>
        <v>7280</v>
      </c>
      <c r="DN31" s="51"/>
      <c r="DQ31" s="46"/>
    </row>
    <row r="32" spans="1:136" s="41" customFormat="1">
      <c r="A32" s="40">
        <v>30</v>
      </c>
      <c r="B32" s="41" t="s">
        <v>210</v>
      </c>
      <c r="C32" s="41">
        <v>241114</v>
      </c>
      <c r="D32" s="41" t="s">
        <v>149</v>
      </c>
      <c r="E32" s="41" t="s">
        <v>150</v>
      </c>
      <c r="F32" s="41">
        <v>6</v>
      </c>
      <c r="G32" s="41">
        <v>1018.8</v>
      </c>
      <c r="H32" s="41">
        <v>20.6</v>
      </c>
      <c r="I32" s="41">
        <v>48</v>
      </c>
      <c r="J32" s="41" t="s">
        <v>151</v>
      </c>
      <c r="K32" s="41">
        <v>200</v>
      </c>
      <c r="L32" s="41" t="s">
        <v>211</v>
      </c>
      <c r="M32" s="41" t="s">
        <v>153</v>
      </c>
      <c r="N32" s="41" t="s">
        <v>154</v>
      </c>
      <c r="O32" s="41">
        <v>-0.42</v>
      </c>
      <c r="P32" s="41" t="s">
        <v>212</v>
      </c>
      <c r="Q32" s="41">
        <v>0.32</v>
      </c>
      <c r="R32" s="41">
        <v>2500000</v>
      </c>
      <c r="S32" s="41" t="s">
        <v>155</v>
      </c>
      <c r="T32" s="41" t="s">
        <v>209</v>
      </c>
      <c r="U32" s="41" t="s">
        <v>157</v>
      </c>
      <c r="V32" s="41">
        <v>1500000</v>
      </c>
      <c r="W32" s="41">
        <v>1280</v>
      </c>
      <c r="X32" s="41">
        <v>32</v>
      </c>
      <c r="Y32" s="41" t="s">
        <v>158</v>
      </c>
      <c r="Z32" s="41">
        <v>9.5000000000000001E-2</v>
      </c>
      <c r="AA32" s="42">
        <v>0.55824391967005804</v>
      </c>
      <c r="AB32" s="42" t="str">
        <f t="shared" si="0"/>
        <v>ㅌ</v>
      </c>
      <c r="AC32" s="42">
        <v>121.38240046556299</v>
      </c>
      <c r="AD32" s="42">
        <v>6.2467468755574497E-2</v>
      </c>
      <c r="AE32" s="41" t="s">
        <v>159</v>
      </c>
      <c r="AF32" s="42"/>
      <c r="AG32" s="42"/>
      <c r="AH32" s="42">
        <v>2.8384</v>
      </c>
      <c r="AI32" s="42">
        <v>1283.3675564681701</v>
      </c>
      <c r="AJ32" s="42">
        <v>-180.5736</v>
      </c>
      <c r="AK32" s="42">
        <v>1.5311999999999999</v>
      </c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>
        <v>0</v>
      </c>
      <c r="AW32" s="43">
        <v>0</v>
      </c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36"/>
      <c r="BK32" s="43"/>
      <c r="BL32" s="43"/>
      <c r="BM32" s="43"/>
      <c r="BN32" s="43"/>
      <c r="BO32" s="43"/>
      <c r="BP32" s="43"/>
      <c r="BQ32" s="43"/>
      <c r="BR32" s="43"/>
      <c r="BS32" s="43"/>
      <c r="BT32" s="43">
        <v>0</v>
      </c>
      <c r="BU32" s="43">
        <v>0</v>
      </c>
      <c r="BV32" s="36"/>
      <c r="BW32" s="43"/>
      <c r="BX32" s="43"/>
      <c r="BY32" s="43"/>
      <c r="BZ32" s="43"/>
      <c r="CA32" s="43"/>
      <c r="CB32" s="43"/>
      <c r="CC32" s="43"/>
      <c r="CD32" s="43"/>
      <c r="CE32" s="43"/>
      <c r="CF32" s="43">
        <v>0</v>
      </c>
      <c r="CG32" s="43">
        <v>0</v>
      </c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5"/>
      <c r="DG32" s="50"/>
      <c r="DH32" s="50"/>
      <c r="DI32" s="41">
        <v>257</v>
      </c>
      <c r="DJ32" s="41" t="s">
        <v>168</v>
      </c>
      <c r="DK32" s="41">
        <v>304</v>
      </c>
      <c r="DL32" s="46">
        <f t="shared" si="16"/>
        <v>2600.7999999999997</v>
      </c>
      <c r="DM32" s="46">
        <f t="shared" si="17"/>
        <v>6858.4</v>
      </c>
      <c r="DN32" s="51"/>
      <c r="DQ32" s="46"/>
    </row>
    <row r="33" spans="1:136" s="33" customFormat="1">
      <c r="A33" s="32">
        <v>31</v>
      </c>
      <c r="B33" s="33" t="s">
        <v>210</v>
      </c>
      <c r="C33" s="33">
        <v>241115</v>
      </c>
      <c r="D33" s="33" t="s">
        <v>149</v>
      </c>
      <c r="E33" s="33" t="s">
        <v>150</v>
      </c>
      <c r="F33" s="33">
        <v>6</v>
      </c>
      <c r="G33" s="33">
        <v>1019</v>
      </c>
      <c r="H33" s="33">
        <v>20.8</v>
      </c>
      <c r="I33" s="33">
        <v>51</v>
      </c>
      <c r="J33" s="33" t="s">
        <v>151</v>
      </c>
      <c r="K33" s="33">
        <v>200</v>
      </c>
      <c r="L33" s="33" t="s">
        <v>213</v>
      </c>
      <c r="M33" s="33" t="s">
        <v>153</v>
      </c>
      <c r="N33" s="33" t="s">
        <v>154</v>
      </c>
      <c r="O33" s="33">
        <v>0.2</v>
      </c>
      <c r="P33" s="33">
        <v>23</v>
      </c>
      <c r="Q33" s="33">
        <v>0.31</v>
      </c>
      <c r="R33" s="33">
        <v>2500000</v>
      </c>
      <c r="S33" s="33" t="s">
        <v>155</v>
      </c>
      <c r="T33" s="33" t="s">
        <v>170</v>
      </c>
      <c r="U33" s="33" t="s">
        <v>157</v>
      </c>
      <c r="V33" s="33">
        <v>1500000</v>
      </c>
      <c r="W33" s="33">
        <v>1280</v>
      </c>
      <c r="X33" s="33">
        <v>32</v>
      </c>
      <c r="Y33" s="33" t="s">
        <v>158</v>
      </c>
      <c r="Z33" s="33">
        <v>9.5000000000000001E-2</v>
      </c>
      <c r="AA33" s="34">
        <v>1.2058023488368601</v>
      </c>
      <c r="AB33" s="34">
        <f t="shared" si="0"/>
        <v>23</v>
      </c>
      <c r="AC33" s="34">
        <v>124.44479145246601</v>
      </c>
      <c r="AD33" s="34">
        <v>6.1316892582267399E-2</v>
      </c>
      <c r="AE33" s="33" t="s">
        <v>159</v>
      </c>
      <c r="AF33" s="34"/>
      <c r="AG33" s="34"/>
      <c r="AH33" s="34">
        <v>2.3483999999999998</v>
      </c>
      <c r="AI33" s="34">
        <v>1114.08199643494</v>
      </c>
      <c r="AJ33" s="34">
        <v>-249.02080000000001</v>
      </c>
      <c r="AK33" s="34">
        <v>0.37159999999999999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>
        <v>0</v>
      </c>
      <c r="AW33" s="35">
        <v>0</v>
      </c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6"/>
      <c r="BK33" s="35"/>
      <c r="BL33" s="35"/>
      <c r="BM33" s="35"/>
      <c r="BN33" s="35"/>
      <c r="BO33" s="35"/>
      <c r="BP33" s="35"/>
      <c r="BQ33" s="35"/>
      <c r="BR33" s="35"/>
      <c r="BS33" s="35"/>
      <c r="BT33" s="35">
        <v>0</v>
      </c>
      <c r="BU33" s="35">
        <v>0</v>
      </c>
      <c r="BV33" s="36"/>
      <c r="BW33" s="35"/>
      <c r="BX33" s="35"/>
      <c r="BY33" s="35"/>
      <c r="BZ33" s="35"/>
      <c r="CA33" s="35"/>
      <c r="CB33" s="35"/>
      <c r="CC33" s="35"/>
      <c r="CD33" s="35"/>
      <c r="CE33" s="35"/>
      <c r="CF33" s="35">
        <v>0</v>
      </c>
      <c r="CG33" s="35">
        <v>0</v>
      </c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8"/>
      <c r="DG33" s="49"/>
      <c r="DH33" s="49"/>
      <c r="DJ33" s="33" t="s">
        <v>168</v>
      </c>
      <c r="DK33" s="33">
        <v>373</v>
      </c>
      <c r="DL33" s="39">
        <f t="shared" si="16"/>
        <v>930.4</v>
      </c>
      <c r="DM33" s="39">
        <f t="shared" si="17"/>
        <v>4452.9999999999991</v>
      </c>
      <c r="DN33" s="48"/>
      <c r="DQ33" s="39"/>
    </row>
    <row r="34" spans="1:136" s="41" customFormat="1">
      <c r="A34" s="40">
        <v>32</v>
      </c>
      <c r="B34" s="41" t="s">
        <v>210</v>
      </c>
      <c r="C34" s="41">
        <v>241119</v>
      </c>
      <c r="D34" s="41" t="s">
        <v>183</v>
      </c>
      <c r="E34" s="41" t="s">
        <v>214</v>
      </c>
      <c r="F34" s="41">
        <v>6</v>
      </c>
      <c r="G34" s="41">
        <v>1027.3</v>
      </c>
      <c r="H34" s="41">
        <v>18.2</v>
      </c>
      <c r="I34" s="41">
        <v>31.2</v>
      </c>
      <c r="J34" s="41" t="s">
        <v>151</v>
      </c>
      <c r="K34" s="41">
        <v>30</v>
      </c>
      <c r="L34" s="41" t="s">
        <v>162</v>
      </c>
      <c r="M34" s="41" t="s">
        <v>153</v>
      </c>
      <c r="N34" s="41" t="s">
        <v>154</v>
      </c>
      <c r="O34" s="41">
        <v>0</v>
      </c>
      <c r="P34" s="41">
        <v>20</v>
      </c>
      <c r="Q34" s="41">
        <v>0.28000000000000003</v>
      </c>
      <c r="R34" s="41">
        <v>2500000</v>
      </c>
      <c r="S34" s="41" t="s">
        <v>183</v>
      </c>
      <c r="T34" s="41" t="s">
        <v>183</v>
      </c>
      <c r="U34" s="41" t="s">
        <v>183</v>
      </c>
      <c r="V34" s="41" t="s">
        <v>183</v>
      </c>
      <c r="W34" s="41" t="s">
        <v>183</v>
      </c>
      <c r="X34" s="41" t="s">
        <v>183</v>
      </c>
      <c r="Y34" s="41" t="s">
        <v>183</v>
      </c>
      <c r="Z34" s="41" t="s">
        <v>183</v>
      </c>
      <c r="AB34" s="42">
        <f t="shared" si="0"/>
        <v>20</v>
      </c>
      <c r="AE34" s="41" t="s">
        <v>159</v>
      </c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>
        <v>0</v>
      </c>
      <c r="AW34" s="43">
        <v>0</v>
      </c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36"/>
      <c r="BK34" s="43"/>
      <c r="BL34" s="43"/>
      <c r="BM34" s="43"/>
      <c r="BN34" s="43"/>
      <c r="BO34" s="43"/>
      <c r="BP34" s="43"/>
      <c r="BQ34" s="43"/>
      <c r="BR34" s="43"/>
      <c r="BS34" s="43"/>
      <c r="BT34" s="43">
        <v>0</v>
      </c>
      <c r="BU34" s="43">
        <v>0</v>
      </c>
      <c r="BV34" s="36"/>
      <c r="BW34" s="43"/>
      <c r="BX34" s="43"/>
      <c r="BY34" s="43"/>
      <c r="BZ34" s="43"/>
      <c r="CA34" s="43"/>
      <c r="CB34" s="43"/>
      <c r="CC34" s="43"/>
      <c r="CD34" s="43"/>
      <c r="CE34" s="43"/>
      <c r="CF34" s="43">
        <v>0</v>
      </c>
      <c r="CG34" s="43">
        <v>0</v>
      </c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50"/>
      <c r="DG34" s="50"/>
      <c r="DH34" s="50"/>
      <c r="DL34" s="46" t="e">
        <f t="shared" si="16"/>
        <v>#VALUE!</v>
      </c>
      <c r="DM34" s="46" t="e">
        <f t="shared" si="17"/>
        <v>#VALUE!</v>
      </c>
      <c r="DN34" s="51"/>
      <c r="DO34" s="50"/>
      <c r="DP34" s="50"/>
      <c r="DQ34" s="46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</row>
    <row r="35" spans="1:136" s="41" customFormat="1">
      <c r="A35" s="40">
        <v>33</v>
      </c>
      <c r="B35" s="41" t="s">
        <v>210</v>
      </c>
      <c r="C35" s="41">
        <v>241120</v>
      </c>
      <c r="D35" s="41" t="s">
        <v>174</v>
      </c>
      <c r="E35" s="41" t="s">
        <v>150</v>
      </c>
      <c r="F35" s="41">
        <v>6</v>
      </c>
      <c r="G35" s="41">
        <v>1022.6</v>
      </c>
      <c r="H35" s="41">
        <v>18</v>
      </c>
      <c r="I35" s="41">
        <v>34.799999999999997</v>
      </c>
      <c r="J35" s="41" t="s">
        <v>151</v>
      </c>
      <c r="K35" s="41">
        <v>200</v>
      </c>
      <c r="L35" s="41" t="s">
        <v>215</v>
      </c>
      <c r="M35" s="41" t="s">
        <v>153</v>
      </c>
      <c r="N35" s="41" t="s">
        <v>154</v>
      </c>
      <c r="O35" s="41">
        <v>-0.42</v>
      </c>
      <c r="P35" s="41">
        <v>20</v>
      </c>
      <c r="Q35" s="41">
        <v>0.28000000000000003</v>
      </c>
      <c r="R35" s="41">
        <v>2500000</v>
      </c>
      <c r="S35" s="41" t="s">
        <v>155</v>
      </c>
      <c r="T35" s="41" t="s">
        <v>216</v>
      </c>
      <c r="U35" s="41" t="s">
        <v>157</v>
      </c>
      <c r="V35" s="41">
        <v>1500000</v>
      </c>
      <c r="W35" s="41">
        <v>1280</v>
      </c>
      <c r="X35" s="41">
        <v>32</v>
      </c>
      <c r="Y35" s="41" t="s">
        <v>158</v>
      </c>
      <c r="Z35" s="41">
        <v>9.5000000000000001E-2</v>
      </c>
      <c r="AA35" s="42">
        <v>0.55816145119275695</v>
      </c>
      <c r="AB35" s="42">
        <f t="shared" si="0"/>
        <v>20</v>
      </c>
      <c r="AC35" s="42">
        <v>123.80155476840601</v>
      </c>
      <c r="AD35" s="42">
        <v>6.6501759320722706E-2</v>
      </c>
      <c r="AE35" s="41" t="s">
        <v>159</v>
      </c>
      <c r="AF35" s="42"/>
      <c r="AG35" s="42"/>
      <c r="AH35" s="42">
        <v>2.1859999999999999</v>
      </c>
      <c r="AI35" s="42">
        <v>1282.0512820512799</v>
      </c>
      <c r="AJ35" s="42">
        <v>7.1524000000000001</v>
      </c>
      <c r="AK35" s="42">
        <v>2.1307999999999998</v>
      </c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>
        <v>0</v>
      </c>
      <c r="AW35" s="43">
        <v>0</v>
      </c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36"/>
      <c r="BK35" s="43"/>
      <c r="BL35" s="43"/>
      <c r="BM35" s="43"/>
      <c r="BN35" s="43"/>
      <c r="BO35" s="43"/>
      <c r="BP35" s="43"/>
      <c r="BQ35" s="43"/>
      <c r="BR35" s="43"/>
      <c r="BS35" s="43"/>
      <c r="BT35" s="43">
        <v>0</v>
      </c>
      <c r="BU35" s="43">
        <v>0</v>
      </c>
      <c r="BV35" s="36"/>
      <c r="BW35" s="43"/>
      <c r="BX35" s="43"/>
      <c r="BY35" s="43"/>
      <c r="BZ35" s="43"/>
      <c r="CA35" s="43"/>
      <c r="CB35" s="43"/>
      <c r="CC35" s="43"/>
      <c r="CD35" s="43"/>
      <c r="CE35" s="43"/>
      <c r="CF35" s="43">
        <v>0</v>
      </c>
      <c r="CG35" s="43">
        <v>0</v>
      </c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50"/>
      <c r="DG35" s="50"/>
      <c r="DH35" s="50"/>
      <c r="DI35" s="41">
        <v>261</v>
      </c>
      <c r="DJ35" s="41" t="s">
        <v>168</v>
      </c>
      <c r="DK35" s="41">
        <v>0</v>
      </c>
      <c r="DL35" s="46">
        <f t="shared" si="16"/>
        <v>3196.2</v>
      </c>
      <c r="DM35" s="46">
        <f t="shared" si="17"/>
        <v>6475.2</v>
      </c>
      <c r="DN35" s="51"/>
      <c r="DQ35" s="46"/>
    </row>
    <row r="36" spans="1:136" s="41" customFormat="1">
      <c r="A36" s="40">
        <v>34</v>
      </c>
      <c r="E36" s="41" t="s">
        <v>217</v>
      </c>
      <c r="F36" s="41">
        <v>6</v>
      </c>
      <c r="AB36" s="42">
        <f t="shared" si="0"/>
        <v>0</v>
      </c>
      <c r="AE36" s="41" t="s">
        <v>159</v>
      </c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>
        <v>0</v>
      </c>
      <c r="AW36" s="43">
        <v>0</v>
      </c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36"/>
      <c r="BK36" s="43"/>
      <c r="BL36" s="43"/>
      <c r="BM36" s="43"/>
      <c r="BN36" s="43"/>
      <c r="BO36" s="43"/>
      <c r="BP36" s="43"/>
      <c r="BQ36" s="43"/>
      <c r="BR36" s="43"/>
      <c r="BS36" s="43"/>
      <c r="BT36" s="43">
        <v>0</v>
      </c>
      <c r="BU36" s="43">
        <v>0</v>
      </c>
      <c r="BV36" s="36"/>
      <c r="BW36" s="43"/>
      <c r="BX36" s="43"/>
      <c r="BY36" s="43"/>
      <c r="BZ36" s="43"/>
      <c r="CA36" s="43"/>
      <c r="CB36" s="43"/>
      <c r="CC36" s="43"/>
      <c r="CD36" s="43"/>
      <c r="CE36" s="43"/>
      <c r="CF36" s="43">
        <v>0</v>
      </c>
      <c r="CG36" s="43">
        <v>0</v>
      </c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50"/>
      <c r="DG36" s="50"/>
      <c r="DH36" s="50"/>
      <c r="DL36" s="46">
        <f t="shared" si="16"/>
        <v>0</v>
      </c>
      <c r="DM36" s="46">
        <f t="shared" si="17"/>
        <v>0</v>
      </c>
      <c r="DN36" s="51"/>
      <c r="DQ36" s="46"/>
    </row>
    <row r="37" spans="1:136" s="41" customFormat="1">
      <c r="A37" s="40">
        <v>35</v>
      </c>
      <c r="B37" s="41" t="s">
        <v>173</v>
      </c>
      <c r="C37" s="41">
        <v>241128</v>
      </c>
      <c r="D37" s="41" t="s">
        <v>174</v>
      </c>
      <c r="E37" s="41" t="s">
        <v>150</v>
      </c>
      <c r="F37" s="41">
        <v>6</v>
      </c>
      <c r="G37" s="41">
        <v>1011.1</v>
      </c>
      <c r="H37" s="41">
        <v>17</v>
      </c>
      <c r="I37" s="41">
        <v>31</v>
      </c>
      <c r="J37" s="41" t="s">
        <v>151</v>
      </c>
      <c r="K37" s="41">
        <v>200</v>
      </c>
      <c r="L37" s="41" t="s">
        <v>218</v>
      </c>
      <c r="M37" s="41" t="s">
        <v>153</v>
      </c>
      <c r="N37" s="41" t="s">
        <v>154</v>
      </c>
      <c r="O37" s="41">
        <v>-0.42</v>
      </c>
      <c r="P37" s="41">
        <v>22</v>
      </c>
      <c r="Q37" s="41">
        <v>0.27</v>
      </c>
      <c r="R37" s="41">
        <v>2500000</v>
      </c>
      <c r="S37" s="41" t="s">
        <v>183</v>
      </c>
      <c r="T37" s="41" t="s">
        <v>183</v>
      </c>
      <c r="U37" s="41" t="s">
        <v>183</v>
      </c>
      <c r="V37" s="41" t="s">
        <v>183</v>
      </c>
      <c r="W37" s="41" t="s">
        <v>183</v>
      </c>
      <c r="X37" s="41" t="s">
        <v>183</v>
      </c>
      <c r="Y37" s="41" t="s">
        <v>183</v>
      </c>
      <c r="Z37" s="41" t="s">
        <v>183</v>
      </c>
      <c r="AA37" s="42">
        <v>0.55661001359950302</v>
      </c>
      <c r="AB37" s="42">
        <f t="shared" si="0"/>
        <v>22</v>
      </c>
      <c r="AC37" s="42">
        <v>121.593042863669</v>
      </c>
      <c r="AD37" s="42">
        <v>3.58452940822553E-2</v>
      </c>
      <c r="AE37" s="41" t="s">
        <v>159</v>
      </c>
      <c r="AF37" s="42">
        <v>77.101592771120494</v>
      </c>
      <c r="AG37" s="42">
        <v>1.3202579527245899</v>
      </c>
      <c r="AH37" s="42">
        <v>2.3163999999999998</v>
      </c>
      <c r="AI37" s="42">
        <v>1306.16509926855</v>
      </c>
      <c r="AJ37" s="42">
        <v>0.6744</v>
      </c>
      <c r="AK37" s="42">
        <v>2.0903999999999998</v>
      </c>
      <c r="AL37" s="43">
        <v>56771</v>
      </c>
      <c r="AM37" s="43">
        <v>295.14999999999998</v>
      </c>
      <c r="AN37" s="43">
        <v>0.67007499999999998</v>
      </c>
      <c r="AO37" s="43">
        <v>212468</v>
      </c>
      <c r="AP37" s="43">
        <v>297191</v>
      </c>
      <c r="AQ37" s="43">
        <v>287.05200000000002</v>
      </c>
      <c r="AR37" s="43">
        <v>1.39052</v>
      </c>
      <c r="AS37" s="43">
        <v>1022.1</v>
      </c>
      <c r="AT37" s="43">
        <v>343.19099999999997</v>
      </c>
      <c r="AU37" s="43">
        <v>7005.93</v>
      </c>
      <c r="AV37" s="43">
        <v>0</v>
      </c>
      <c r="AW37" s="43">
        <v>0</v>
      </c>
      <c r="AX37" s="43">
        <v>957427</v>
      </c>
      <c r="AY37" s="43">
        <v>1056.04</v>
      </c>
      <c r="AZ37" s="43">
        <v>3.1583899999999998</v>
      </c>
      <c r="BA37" s="43">
        <v>808691</v>
      </c>
      <c r="BB37" s="43">
        <v>1111830</v>
      </c>
      <c r="BC37" s="43">
        <v>287.05200000000002</v>
      </c>
      <c r="BD37" s="43">
        <v>1.33239</v>
      </c>
      <c r="BE37" s="43">
        <v>1150.6400000000001</v>
      </c>
      <c r="BF37" s="43">
        <v>635.34</v>
      </c>
      <c r="BG37" s="43">
        <v>7550.59</v>
      </c>
      <c r="BH37" s="43">
        <v>277.11200000000002</v>
      </c>
      <c r="BI37" s="43">
        <v>0.436163314131017</v>
      </c>
      <c r="BJ37" s="36">
        <v>5695410</v>
      </c>
      <c r="BK37" s="43">
        <v>1850.62</v>
      </c>
      <c r="BL37" s="43">
        <v>10.7217</v>
      </c>
      <c r="BM37" s="43">
        <v>1551640</v>
      </c>
      <c r="BN37" s="43">
        <v>2082840</v>
      </c>
      <c r="BO37" s="43">
        <v>287.04199999999997</v>
      </c>
      <c r="BP37" s="43">
        <v>1.3010999999999999</v>
      </c>
      <c r="BQ37" s="43">
        <v>1240.3399999999999</v>
      </c>
      <c r="BR37" s="43">
        <v>826.577</v>
      </c>
      <c r="BS37" s="43">
        <v>7720.87</v>
      </c>
      <c r="BT37" s="43">
        <v>0</v>
      </c>
      <c r="BU37" s="43">
        <v>0</v>
      </c>
      <c r="BV37" s="36">
        <v>7710160</v>
      </c>
      <c r="BW37" s="43">
        <v>1978.4</v>
      </c>
      <c r="BX37" s="43">
        <v>13.5771</v>
      </c>
      <c r="BY37" s="43">
        <v>1681310</v>
      </c>
      <c r="BZ37" s="43">
        <v>2249190</v>
      </c>
      <c r="CA37" s="43">
        <v>287.04000000000002</v>
      </c>
      <c r="CB37" s="43">
        <v>1.29844</v>
      </c>
      <c r="CC37" s="43">
        <v>1248.83</v>
      </c>
      <c r="CD37" s="43">
        <v>852.48299999999995</v>
      </c>
      <c r="CE37" s="43">
        <v>7720.87</v>
      </c>
      <c r="CF37" s="43">
        <v>0</v>
      </c>
      <c r="CG37" s="43">
        <v>0</v>
      </c>
      <c r="CH37" s="43">
        <v>4216380</v>
      </c>
      <c r="CI37" s="43">
        <v>1729.88</v>
      </c>
      <c r="CJ37" s="43">
        <v>8.4913299999999996</v>
      </c>
      <c r="CK37" s="43">
        <v>1431780</v>
      </c>
      <c r="CL37" s="43">
        <v>1928330</v>
      </c>
      <c r="CM37" s="43">
        <v>287.04399999999998</v>
      </c>
      <c r="CN37" s="43">
        <v>1.3039799999999999</v>
      </c>
      <c r="CO37" s="43">
        <v>1231.32</v>
      </c>
      <c r="CP37" s="43">
        <v>801.07399999999996</v>
      </c>
      <c r="CQ37" s="43">
        <v>7720.87</v>
      </c>
      <c r="CR37" s="43">
        <v>801.07299999999998</v>
      </c>
      <c r="CS37" s="43">
        <v>0.99999875167587504</v>
      </c>
      <c r="CT37" s="43">
        <v>3628.33</v>
      </c>
      <c r="CU37" s="43">
        <v>274.59699999999998</v>
      </c>
      <c r="CV37" s="43">
        <v>4.6032200000000002E-2</v>
      </c>
      <c r="CW37" s="43">
        <v>197672</v>
      </c>
      <c r="CX37" s="43">
        <v>276494</v>
      </c>
      <c r="CY37" s="43">
        <v>287.04399999999998</v>
      </c>
      <c r="CZ37" s="43">
        <v>1.3905099999999999</v>
      </c>
      <c r="DA37" s="43">
        <v>1022.09</v>
      </c>
      <c r="DB37" s="43">
        <v>331.02699999999999</v>
      </c>
      <c r="DC37" s="43">
        <v>7720.87</v>
      </c>
      <c r="DD37" s="43">
        <v>1986.3</v>
      </c>
      <c r="DE37" s="43">
        <v>6.0004200000000001</v>
      </c>
      <c r="DF37" s="45">
        <f>CV37*DD37/(0.00001716*(CU37/273)^1.5*(273+111)/(CU37+111))</f>
        <v>5303859.3750612028</v>
      </c>
      <c r="DG37" s="45">
        <f>CX37+0.5*DD37^2</f>
        <v>2249187.8449999997</v>
      </c>
      <c r="DH37" s="50"/>
      <c r="DL37" s="46" t="e">
        <f t="shared" si="16"/>
        <v>#VALUE!</v>
      </c>
      <c r="DM37" s="46" t="e">
        <f t="shared" si="17"/>
        <v>#VALUE!</v>
      </c>
      <c r="DN37" s="51"/>
      <c r="DQ37" s="46"/>
    </row>
    <row r="38" spans="1:136" s="33" customFormat="1">
      <c r="A38" s="32">
        <v>36</v>
      </c>
      <c r="B38" s="33" t="s">
        <v>173</v>
      </c>
      <c r="C38" s="33">
        <v>241203</v>
      </c>
      <c r="D38" s="33" t="s">
        <v>174</v>
      </c>
      <c r="E38" s="33" t="s">
        <v>150</v>
      </c>
      <c r="F38" s="33">
        <v>6</v>
      </c>
      <c r="G38" s="33">
        <v>1023.4</v>
      </c>
      <c r="H38" s="33">
        <v>16.399999999999999</v>
      </c>
      <c r="I38" s="33">
        <v>21.1</v>
      </c>
      <c r="J38" s="33" t="s">
        <v>151</v>
      </c>
      <c r="K38" s="33">
        <v>200</v>
      </c>
      <c r="L38" s="33" t="s">
        <v>219</v>
      </c>
      <c r="M38" s="33" t="s">
        <v>153</v>
      </c>
      <c r="N38" s="33" t="s">
        <v>154</v>
      </c>
      <c r="O38" s="33">
        <v>0.2</v>
      </c>
      <c r="P38" s="33">
        <v>20</v>
      </c>
      <c r="Q38" s="33">
        <v>0.27</v>
      </c>
      <c r="R38" s="33">
        <v>2500000</v>
      </c>
      <c r="S38" s="33" t="s">
        <v>155</v>
      </c>
      <c r="T38" s="33" t="s">
        <v>220</v>
      </c>
      <c r="U38" s="33" t="s">
        <v>157</v>
      </c>
      <c r="V38" s="33">
        <v>1500000</v>
      </c>
      <c r="W38" s="33">
        <v>1280</v>
      </c>
      <c r="X38" s="33">
        <v>32</v>
      </c>
      <c r="Y38" s="33" t="s">
        <v>158</v>
      </c>
      <c r="Z38" s="33">
        <v>9.5000000000000001E-2</v>
      </c>
      <c r="AA38" s="34">
        <v>1.1779995656200799</v>
      </c>
      <c r="AB38" s="34">
        <f t="shared" si="0"/>
        <v>20</v>
      </c>
      <c r="AC38" s="34">
        <v>123.167709277803</v>
      </c>
      <c r="AD38" s="34">
        <v>4.5182505310559597E-2</v>
      </c>
      <c r="AE38" s="33" t="s">
        <v>159</v>
      </c>
      <c r="AF38" s="34">
        <v>89.124680076136102</v>
      </c>
      <c r="AG38" s="34">
        <v>2.68009763927477</v>
      </c>
      <c r="AH38" s="34">
        <v>3.2231999999999998</v>
      </c>
      <c r="AI38" s="34">
        <v>1117.0688114387899</v>
      </c>
      <c r="AJ38" s="34">
        <v>0.72319999999999995</v>
      </c>
      <c r="AK38" s="34">
        <v>0.41160000000000002</v>
      </c>
      <c r="AL38" s="35">
        <v>120140</v>
      </c>
      <c r="AM38" s="35">
        <v>293.14999999999998</v>
      </c>
      <c r="AN38" s="35">
        <v>1.4276899999999999</v>
      </c>
      <c r="AO38" s="35">
        <v>211028</v>
      </c>
      <c r="AP38" s="35">
        <v>295178</v>
      </c>
      <c r="AQ38" s="35">
        <v>287.05500000000001</v>
      </c>
      <c r="AR38" s="35">
        <v>1.39053</v>
      </c>
      <c r="AS38" s="35">
        <v>1022.1</v>
      </c>
      <c r="AT38" s="35">
        <v>342.02499999999998</v>
      </c>
      <c r="AU38" s="35">
        <v>6783.77</v>
      </c>
      <c r="AV38" s="35">
        <v>0</v>
      </c>
      <c r="AW38" s="35">
        <v>0</v>
      </c>
      <c r="AX38" s="35">
        <v>1479880</v>
      </c>
      <c r="AY38" s="35">
        <v>854.94200000000001</v>
      </c>
      <c r="AZ38" s="35">
        <v>6.0302199999999999</v>
      </c>
      <c r="BA38" s="35">
        <v>638716</v>
      </c>
      <c r="BB38" s="35">
        <v>884127</v>
      </c>
      <c r="BC38" s="35">
        <v>287.05</v>
      </c>
      <c r="BD38" s="35">
        <v>1.3485</v>
      </c>
      <c r="BE38" s="35">
        <v>1110.72</v>
      </c>
      <c r="BF38" s="35">
        <v>575.24599999999998</v>
      </c>
      <c r="BG38" s="35">
        <v>7186.53</v>
      </c>
      <c r="BH38" s="35">
        <v>264.47199999999998</v>
      </c>
      <c r="BI38" s="35">
        <v>0.45975460933235501</v>
      </c>
      <c r="BJ38" s="36">
        <v>7912150</v>
      </c>
      <c r="BK38" s="35">
        <v>1456.14</v>
      </c>
      <c r="BL38" s="35">
        <v>18.9299</v>
      </c>
      <c r="BM38" s="35">
        <v>1169390</v>
      </c>
      <c r="BN38" s="35">
        <v>1587360</v>
      </c>
      <c r="BO38" s="35">
        <v>287.04199999999997</v>
      </c>
      <c r="BP38" s="35">
        <v>1.3123100000000001</v>
      </c>
      <c r="BQ38" s="35">
        <v>1206.1500000000001</v>
      </c>
      <c r="BR38" s="35">
        <v>739.03499999999997</v>
      </c>
      <c r="BS38" s="35">
        <v>7325.72</v>
      </c>
      <c r="BT38" s="35">
        <v>0</v>
      </c>
      <c r="BU38" s="35">
        <v>0</v>
      </c>
      <c r="BV38" s="36">
        <v>8912470</v>
      </c>
      <c r="BW38" s="35">
        <v>1497.29</v>
      </c>
      <c r="BX38" s="35">
        <v>20.737400000000001</v>
      </c>
      <c r="BY38" s="35">
        <v>1208050</v>
      </c>
      <c r="BZ38" s="35">
        <v>1637830</v>
      </c>
      <c r="CA38" s="35">
        <v>287.03699999999998</v>
      </c>
      <c r="CB38" s="35">
        <v>1.31084</v>
      </c>
      <c r="CC38" s="35">
        <v>1210.47</v>
      </c>
      <c r="CD38" s="35">
        <v>748.75699999999995</v>
      </c>
      <c r="CE38" s="35">
        <v>7325.72</v>
      </c>
      <c r="CF38" s="35">
        <v>0</v>
      </c>
      <c r="CG38" s="35">
        <v>0</v>
      </c>
      <c r="CH38" s="35">
        <v>4835900</v>
      </c>
      <c r="CI38" s="35">
        <v>1295.5</v>
      </c>
      <c r="CJ38" s="35">
        <v>13.004300000000001</v>
      </c>
      <c r="CK38" s="35">
        <v>1021280</v>
      </c>
      <c r="CL38" s="35">
        <v>1393150</v>
      </c>
      <c r="CM38" s="35">
        <v>287.048</v>
      </c>
      <c r="CN38" s="35">
        <v>1.3188299999999999</v>
      </c>
      <c r="CO38" s="35">
        <v>1187.3800000000001</v>
      </c>
      <c r="CP38" s="35">
        <v>699.54</v>
      </c>
      <c r="CQ38" s="35">
        <v>7325.72</v>
      </c>
      <c r="CR38" s="35">
        <v>699.54</v>
      </c>
      <c r="CS38" s="35">
        <v>1</v>
      </c>
      <c r="CT38" s="35">
        <v>4582.79</v>
      </c>
      <c r="CU38" s="35">
        <v>199.988</v>
      </c>
      <c r="CV38" s="35">
        <v>7.9828099999999999E-2</v>
      </c>
      <c r="CW38" s="35">
        <v>143964</v>
      </c>
      <c r="CX38" s="35">
        <v>201372</v>
      </c>
      <c r="CY38" s="35">
        <v>287.05900000000003</v>
      </c>
      <c r="CZ38" s="35">
        <v>1.39053</v>
      </c>
      <c r="DA38" s="35">
        <v>1022.1</v>
      </c>
      <c r="DB38" s="35">
        <v>282.49900000000002</v>
      </c>
      <c r="DC38" s="35">
        <v>7325.73</v>
      </c>
      <c r="DD38" s="35">
        <v>1694.97</v>
      </c>
      <c r="DE38" s="35">
        <v>5.9999000000000002</v>
      </c>
      <c r="DF38" s="38">
        <f>CV38*DD38/(0.00001716*(CU38/273)^1.5*(273+111)/(CU38+111))</f>
        <v>10184764.626493506</v>
      </c>
      <c r="DG38" s="38">
        <f>CX38+0.5*DD38^2</f>
        <v>1637833.6504500001</v>
      </c>
      <c r="DH38" s="49"/>
      <c r="DI38" s="33">
        <v>265</v>
      </c>
      <c r="DJ38" s="33" t="s">
        <v>168</v>
      </c>
      <c r="DK38" s="33">
        <v>2053</v>
      </c>
      <c r="DL38" s="39">
        <f t="shared" si="16"/>
        <v>2670.4</v>
      </c>
      <c r="DM38" s="39">
        <f t="shared" si="17"/>
        <v>7505.2000000000007</v>
      </c>
      <c r="DN38" s="48">
        <v>1.17371E-4</v>
      </c>
      <c r="DO38" s="33">
        <v>4.9058824000000001E-2</v>
      </c>
      <c r="DP38" s="33">
        <v>0.19929411799999999</v>
      </c>
      <c r="DQ38" s="39"/>
    </row>
    <row r="39" spans="1:136" s="3" customFormat="1">
      <c r="A39" s="61">
        <v>37</v>
      </c>
      <c r="B39" s="3" t="s">
        <v>173</v>
      </c>
      <c r="C39" s="3">
        <v>250103</v>
      </c>
      <c r="D39" s="3" t="s">
        <v>174</v>
      </c>
      <c r="E39" s="3" t="s">
        <v>221</v>
      </c>
      <c r="F39" s="2">
        <v>6.76</v>
      </c>
      <c r="G39" s="3">
        <v>1024.8</v>
      </c>
      <c r="H39" s="3">
        <v>16.399999999999999</v>
      </c>
      <c r="I39" s="3">
        <v>25.9</v>
      </c>
      <c r="J39" s="3" t="s">
        <v>151</v>
      </c>
      <c r="K39" s="3">
        <v>200</v>
      </c>
      <c r="L39" s="3" t="s">
        <v>222</v>
      </c>
      <c r="M39" s="3" t="s">
        <v>153</v>
      </c>
      <c r="N39" s="3" t="s">
        <v>154</v>
      </c>
      <c r="O39" s="3">
        <v>0.2</v>
      </c>
      <c r="P39" s="3">
        <v>20</v>
      </c>
      <c r="Q39" s="3">
        <v>0.28000000000000003</v>
      </c>
      <c r="R39" s="3">
        <v>2500000</v>
      </c>
      <c r="S39" s="3" t="s">
        <v>155</v>
      </c>
      <c r="T39" s="3" t="s">
        <v>209</v>
      </c>
      <c r="U39" s="3" t="s">
        <v>157</v>
      </c>
      <c r="V39" s="3">
        <v>1500000</v>
      </c>
      <c r="W39" s="3">
        <v>1280</v>
      </c>
      <c r="X39" s="3">
        <v>32</v>
      </c>
      <c r="Y39" s="3" t="s">
        <v>158</v>
      </c>
      <c r="Z39" s="3">
        <v>9.5000000000000001E-2</v>
      </c>
      <c r="AA39" s="62">
        <v>1.192048</v>
      </c>
      <c r="AB39" s="63">
        <f t="shared" si="0"/>
        <v>20</v>
      </c>
      <c r="AC39" s="62">
        <v>125.2657</v>
      </c>
      <c r="AD39" s="62">
        <v>1.3299999999999999E-2</v>
      </c>
      <c r="AE39" s="3" t="s">
        <v>159</v>
      </c>
      <c r="AF39" s="62">
        <v>90.788669999999996</v>
      </c>
      <c r="AG39" s="62">
        <v>2.7303999999999999</v>
      </c>
      <c r="AH39" s="62">
        <v>3.0219999999999998</v>
      </c>
      <c r="AI39" s="62">
        <v>1122.0830000000001</v>
      </c>
      <c r="AJ39" s="62">
        <v>0.76639999999999997</v>
      </c>
      <c r="AK39" s="62">
        <v>0.33160000000000001</v>
      </c>
      <c r="AL39" s="17">
        <v>121685</v>
      </c>
      <c r="AM39" s="17">
        <v>293.14999999999998</v>
      </c>
      <c r="AN39" s="17">
        <v>1.44604</v>
      </c>
      <c r="AO39" s="17">
        <v>211028</v>
      </c>
      <c r="AP39" s="17">
        <v>295178</v>
      </c>
      <c r="AQ39" s="17">
        <v>287.05500000000001</v>
      </c>
      <c r="AR39" s="17">
        <v>1.39053</v>
      </c>
      <c r="AS39" s="17">
        <v>1022.1</v>
      </c>
      <c r="AT39" s="17">
        <v>342.02499999999998</v>
      </c>
      <c r="AU39" s="17">
        <v>6780.11</v>
      </c>
      <c r="AV39" s="17">
        <v>0</v>
      </c>
      <c r="AW39" s="17">
        <v>0</v>
      </c>
      <c r="AX39" s="17">
        <v>1512760</v>
      </c>
      <c r="AY39" s="17">
        <v>859.92</v>
      </c>
      <c r="AZ39" s="17">
        <v>6.1285100000000003</v>
      </c>
      <c r="BA39" s="17">
        <v>642824</v>
      </c>
      <c r="BB39" s="17">
        <v>889664</v>
      </c>
      <c r="BC39" s="17">
        <v>287.05</v>
      </c>
      <c r="BD39" s="17">
        <v>1.34806</v>
      </c>
      <c r="BE39" s="17">
        <v>1111.76</v>
      </c>
      <c r="BF39" s="17">
        <v>576.82399999999996</v>
      </c>
      <c r="BG39" s="17">
        <v>7186.67</v>
      </c>
      <c r="BH39" s="17">
        <v>264.75900000000001</v>
      </c>
      <c r="BI39" s="17">
        <v>0.45899442464252499</v>
      </c>
      <c r="BJ39" s="18">
        <v>8115260</v>
      </c>
      <c r="BK39" s="17">
        <v>1466.08</v>
      </c>
      <c r="BL39" s="17">
        <v>19.284099999999999</v>
      </c>
      <c r="BM39" s="17">
        <v>1178700</v>
      </c>
      <c r="BN39" s="17">
        <v>1599520</v>
      </c>
      <c r="BO39" s="17">
        <v>287.041</v>
      </c>
      <c r="BP39" s="17">
        <v>1.3119499999999999</v>
      </c>
      <c r="BQ39" s="17">
        <v>1207.19</v>
      </c>
      <c r="BR39" s="17">
        <v>741.4</v>
      </c>
      <c r="BS39" s="17">
        <v>7326.77</v>
      </c>
      <c r="BT39" s="17">
        <v>0</v>
      </c>
      <c r="BU39" s="17">
        <v>0</v>
      </c>
      <c r="BV39" s="18">
        <v>9078870</v>
      </c>
      <c r="BW39" s="17">
        <v>1505.04</v>
      </c>
      <c r="BX39" s="17">
        <v>21.015799999999999</v>
      </c>
      <c r="BY39" s="17">
        <v>1215370</v>
      </c>
      <c r="BZ39" s="17">
        <v>1647370</v>
      </c>
      <c r="CA39" s="17">
        <v>287.036</v>
      </c>
      <c r="CB39" s="17">
        <v>1.3105599999999999</v>
      </c>
      <c r="CC39" s="17">
        <v>1211.28</v>
      </c>
      <c r="CD39" s="17">
        <v>750.56899999999996</v>
      </c>
      <c r="CE39" s="17">
        <v>7326.77</v>
      </c>
      <c r="CF39" s="17">
        <v>0</v>
      </c>
      <c r="CG39" s="17">
        <v>0</v>
      </c>
      <c r="CH39" s="17">
        <v>4926780</v>
      </c>
      <c r="CI39" s="17">
        <v>1302.45</v>
      </c>
      <c r="CJ39" s="17">
        <v>13.177899999999999</v>
      </c>
      <c r="CK39" s="17">
        <v>1027590</v>
      </c>
      <c r="CL39" s="17">
        <v>1401460</v>
      </c>
      <c r="CM39" s="17">
        <v>287.048</v>
      </c>
      <c r="CN39" s="17">
        <v>1.3185199999999999</v>
      </c>
      <c r="CO39" s="17">
        <v>1188.23</v>
      </c>
      <c r="CP39" s="17">
        <v>701.30700000000002</v>
      </c>
      <c r="CQ39" s="17">
        <v>7326.77</v>
      </c>
      <c r="CR39" s="17">
        <v>701.30600000000004</v>
      </c>
      <c r="CS39" s="17">
        <v>0.99999857409094695</v>
      </c>
      <c r="CT39" s="17">
        <v>2172.96</v>
      </c>
      <c r="CU39" s="17">
        <v>162.71600000000001</v>
      </c>
      <c r="CV39" s="17">
        <v>4.6523399999999999E-2</v>
      </c>
      <c r="CW39" s="17">
        <v>117133</v>
      </c>
      <c r="CX39" s="17">
        <v>163840</v>
      </c>
      <c r="CY39" s="17">
        <v>287.04500000000002</v>
      </c>
      <c r="CZ39" s="17">
        <v>1.3905099999999999</v>
      </c>
      <c r="DA39" s="17">
        <v>1022.09</v>
      </c>
      <c r="DB39" s="17">
        <v>254.81800000000001</v>
      </c>
      <c r="DC39" s="17">
        <v>7326.78</v>
      </c>
      <c r="DD39" s="17">
        <v>1722.52</v>
      </c>
      <c r="DE39" s="17">
        <v>6.7597899999999997</v>
      </c>
      <c r="DF39" s="19">
        <f>CV39*DD39/(0.00001716*(CU39/273)^1.5*(273+111)/(CU39+111))</f>
        <v>7234124.4761901824</v>
      </c>
      <c r="DG39" s="19">
        <f>CX39+0.5*DD39^2</f>
        <v>1647377.5752000001</v>
      </c>
      <c r="DH39" s="64"/>
      <c r="DI39" s="3">
        <v>269</v>
      </c>
      <c r="DJ39" s="3" t="s">
        <v>168</v>
      </c>
      <c r="DL39" s="65">
        <f t="shared" si="16"/>
        <v>497.4</v>
      </c>
      <c r="DM39" s="65">
        <f t="shared" si="17"/>
        <v>5030.3999999999996</v>
      </c>
      <c r="DN39" s="66">
        <v>1.1588500000000001E-4</v>
      </c>
      <c r="DO39" s="3">
        <v>0.19895832999999999</v>
      </c>
      <c r="DP39" s="3">
        <v>0.34729166700000003</v>
      </c>
      <c r="DQ39" s="65"/>
      <c r="DS39" s="67"/>
      <c r="DT39" s="67"/>
      <c r="DU39" s="2">
        <v>5.9179945199999997</v>
      </c>
      <c r="DV39" s="2">
        <f t="shared" ref="DV39:DV70" si="19">1.74191876*CV39</f>
        <v>8.1039983238983995E-2</v>
      </c>
      <c r="DW39" s="2">
        <f t="shared" ref="DW39:DW70" si="20">CU39*1.26753763</f>
        <v>206.24865300308002</v>
      </c>
      <c r="DX39" s="2">
        <f t="shared" ref="DX39:DX70" si="21">DB39*( 1.26753763)^0.5</f>
        <v>286.88677824857996</v>
      </c>
      <c r="DY39" s="2">
        <f t="shared" ref="DY39:DY70" si="22">DX39*DU39</f>
        <v>1697.7943815355513</v>
      </c>
      <c r="DZ39" s="19">
        <f t="shared" ref="DZ39:DZ70" si="23">DV39*DY39/(0.00001716*(DW39/273)^1.5*(273+111)/(DW39+111))</f>
        <v>10087719.61723399</v>
      </c>
      <c r="EA39" s="2">
        <v>5.7739619199999996</v>
      </c>
      <c r="EB39" s="2">
        <f t="shared" ref="EB39:EB70" si="24">1.84577946*CV39</f>
        <v>8.5871936129364002E-2</v>
      </c>
      <c r="EC39" s="2">
        <f t="shared" ref="EC39:EC70" si="25">CU39* 1.32339182</f>
        <v>215.33702338312003</v>
      </c>
      <c r="ED39" s="2">
        <f t="shared" ref="ED39:ED70" si="26">DB39*( 1.32339182)^0.5</f>
        <v>293.13948847399979</v>
      </c>
      <c r="EE39" s="2">
        <f t="shared" ref="EE39:EE70" si="27">ED39*EA39</f>
        <v>1692.5762436971536</v>
      </c>
      <c r="EF39" s="19">
        <f t="shared" ref="EF39:EF70" si="28">EB39*EE39/(0.00001716*(EC39/273)^1.5*(273+111)/(EC39+111))</f>
        <v>10275033.542096041</v>
      </c>
    </row>
    <row r="40" spans="1:136">
      <c r="A40" s="68">
        <v>38</v>
      </c>
      <c r="F40" s="2">
        <v>6.76</v>
      </c>
      <c r="AA40" s="69" t="e" vm="1">
        <f t="array" ref="AA40">AVERAGE(_FV(_FV(_FV(_FV(_FV(_FV(_FV(_FV(AA38,"AA33"),"AA25"),"AA24"),"AA23"),"AA22"),"AA21"),"AA19"),"AA18"))</f>
        <v>#VALUE!</v>
      </c>
      <c r="AB40" t="e" vm="2">
        <f t="array" ref="AB40">AVERAGE(_FV(_FV(_FV(_FV(_FV(_FV(_FV(_FV(AB18,"AB19"),"AB21"),"AB22"),"AB23"),"AB24"),"AB25"),"AB33"),"AB38"))</f>
        <v>#VALUE!</v>
      </c>
      <c r="AC40" s="69" t="e" vm="3">
        <f t="array" ref="AC40">AVERAGE(_FV(_FV(_FV(_FV(_FV(_FV(_FV(_FV(AC18,"AC19"),"AC21"),"AC22"),"AC23"),"AC24"),"AC25"),"AC33"),"AC38"))</f>
        <v>#VALUE!</v>
      </c>
      <c r="AD40" s="69"/>
      <c r="AE40" s="2" t="s">
        <v>159</v>
      </c>
      <c r="AF40" s="69"/>
      <c r="AG40" s="69"/>
      <c r="AH40" s="69"/>
      <c r="AI40" s="69"/>
      <c r="AJ40" s="69"/>
      <c r="AK40" s="69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>
        <v>0</v>
      </c>
      <c r="AW40" s="17">
        <v>0</v>
      </c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8"/>
      <c r="BK40" s="17"/>
      <c r="BL40" s="17"/>
      <c r="BM40" s="17"/>
      <c r="BN40" s="17"/>
      <c r="BO40" s="17"/>
      <c r="BP40" s="17"/>
      <c r="BQ40" s="17"/>
      <c r="BR40" s="17"/>
      <c r="BS40" s="17"/>
      <c r="BT40" s="17">
        <v>0</v>
      </c>
      <c r="BU40" s="17">
        <v>0</v>
      </c>
      <c r="BV40" s="18">
        <f>AVERAGE(BV18,BV19,BV21,BV22,BV23,BV24,BV38)</f>
        <v>8865914.2857142854</v>
      </c>
      <c r="BW40" s="17">
        <f>AVERAGE(BW18,BW19,BW21,BW22,BW23,BW24,BW38)</f>
        <v>1503.312857142857</v>
      </c>
      <c r="BX40" s="17"/>
      <c r="BY40" s="17"/>
      <c r="BZ40" s="17"/>
      <c r="CA40" s="17"/>
      <c r="CB40" s="17"/>
      <c r="CC40" s="17"/>
      <c r="CD40" s="17"/>
      <c r="CE40" s="17"/>
      <c r="CF40" s="17">
        <v>0</v>
      </c>
      <c r="CG40" s="17">
        <v>0</v>
      </c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70">
        <f>AVERAGE(DF18,DF19,DF21,DF22,DF23,DF24,DF38)</f>
        <v>10059810.919386795</v>
      </c>
      <c r="DG40" s="70">
        <f>AVERAGE(DG18,DG19,DG21,DG22,DG23,DG24,DG38)</f>
        <v>1645255.4904928573</v>
      </c>
      <c r="DL40" s="16">
        <f t="shared" si="16"/>
        <v>0</v>
      </c>
      <c r="DM40" s="16">
        <f t="shared" si="17"/>
        <v>0</v>
      </c>
      <c r="DN40" s="71">
        <v>1.1588500000000001E-4</v>
      </c>
      <c r="DQ40" s="16"/>
      <c r="DS40" s="72"/>
      <c r="DT40" s="72"/>
      <c r="DU40" s="2">
        <v>5.9179945199999997</v>
      </c>
      <c r="DV40" s="2">
        <f t="shared" si="19"/>
        <v>0</v>
      </c>
      <c r="DW40" s="2">
        <f t="shared" si="20"/>
        <v>0</v>
      </c>
      <c r="DX40" s="2">
        <f t="shared" si="21"/>
        <v>0</v>
      </c>
      <c r="DY40" s="2">
        <f t="shared" si="22"/>
        <v>0</v>
      </c>
      <c r="DZ40" s="19" t="e">
        <f t="shared" si="23"/>
        <v>#DIV/0!</v>
      </c>
      <c r="EA40" s="2">
        <v>5.7739619199999996</v>
      </c>
      <c r="EB40" s="2">
        <f t="shared" si="24"/>
        <v>0</v>
      </c>
      <c r="EC40" s="2">
        <f t="shared" si="25"/>
        <v>0</v>
      </c>
      <c r="ED40" s="2">
        <f t="shared" si="26"/>
        <v>0</v>
      </c>
      <c r="EE40" s="2">
        <f t="shared" si="27"/>
        <v>0</v>
      </c>
      <c r="EF40" s="19" t="e">
        <f t="shared" si="28"/>
        <v>#DIV/0!</v>
      </c>
    </row>
    <row r="41" spans="1:136">
      <c r="A41" s="68">
        <v>39</v>
      </c>
      <c r="F41" s="2">
        <v>6.76</v>
      </c>
      <c r="AA41" s="69"/>
      <c r="AB41">
        <f>P41</f>
        <v>0</v>
      </c>
      <c r="AC41" s="69"/>
      <c r="AD41" s="69"/>
      <c r="AE41" s="2" t="s">
        <v>159</v>
      </c>
      <c r="AF41" s="69"/>
      <c r="AG41" s="69"/>
      <c r="AH41" s="69"/>
      <c r="AI41" s="69"/>
      <c r="AJ41" s="69"/>
      <c r="AK41" s="69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>
        <v>0</v>
      </c>
      <c r="AW41" s="17">
        <v>0</v>
      </c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8"/>
      <c r="BK41" s="17"/>
      <c r="BL41" s="17"/>
      <c r="BM41" s="17"/>
      <c r="BN41" s="17"/>
      <c r="BO41" s="17"/>
      <c r="BP41" s="17"/>
      <c r="BQ41" s="17"/>
      <c r="BR41" s="17"/>
      <c r="BS41" s="17"/>
      <c r="BT41" s="17">
        <v>0</v>
      </c>
      <c r="BU41" s="17">
        <v>0</v>
      </c>
      <c r="BV41" s="18"/>
      <c r="BW41" s="17"/>
      <c r="BX41" s="17"/>
      <c r="BY41" s="17"/>
      <c r="BZ41" s="17"/>
      <c r="CA41" s="17"/>
      <c r="CB41" s="17"/>
      <c r="CC41" s="17"/>
      <c r="CD41" s="17"/>
      <c r="CE41" s="17"/>
      <c r="CF41" s="17">
        <v>0</v>
      </c>
      <c r="CG41" s="17">
        <v>0</v>
      </c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L41" s="16">
        <f t="shared" si="16"/>
        <v>0</v>
      </c>
      <c r="DM41" s="16">
        <f t="shared" si="17"/>
        <v>0</v>
      </c>
      <c r="DN41" s="71">
        <v>1.1588500000000001E-4</v>
      </c>
      <c r="DQ41" s="16"/>
      <c r="DS41" s="72"/>
      <c r="DT41" s="72"/>
      <c r="DU41" s="2">
        <v>5.9179945199999997</v>
      </c>
      <c r="DV41" s="2">
        <f t="shared" si="19"/>
        <v>0</v>
      </c>
      <c r="DW41" s="2">
        <f t="shared" si="20"/>
        <v>0</v>
      </c>
      <c r="DX41" s="2">
        <f t="shared" si="21"/>
        <v>0</v>
      </c>
      <c r="DY41" s="2">
        <f t="shared" si="22"/>
        <v>0</v>
      </c>
      <c r="DZ41" s="19" t="e">
        <f t="shared" si="23"/>
        <v>#DIV/0!</v>
      </c>
      <c r="EA41" s="2">
        <v>5.7739619199999996</v>
      </c>
      <c r="EB41" s="2">
        <f t="shared" si="24"/>
        <v>0</v>
      </c>
      <c r="EC41" s="2">
        <f t="shared" si="25"/>
        <v>0</v>
      </c>
      <c r="ED41" s="2">
        <f t="shared" si="26"/>
        <v>0</v>
      </c>
      <c r="EE41" s="2">
        <f t="shared" si="27"/>
        <v>0</v>
      </c>
      <c r="EF41" s="19" t="e">
        <f t="shared" si="28"/>
        <v>#DIV/0!</v>
      </c>
    </row>
    <row r="42" spans="1:136" s="74" customFormat="1">
      <c r="A42" s="73">
        <v>40</v>
      </c>
      <c r="B42" s="74" t="s">
        <v>173</v>
      </c>
      <c r="C42" s="74">
        <v>250109</v>
      </c>
      <c r="D42" s="74" t="s">
        <v>174</v>
      </c>
      <c r="F42" s="74">
        <v>6.76</v>
      </c>
      <c r="G42" s="74">
        <v>1025</v>
      </c>
      <c r="H42" s="74">
        <v>17.399999999999999</v>
      </c>
      <c r="I42" s="74">
        <v>18.5</v>
      </c>
      <c r="J42" s="74" t="s">
        <v>151</v>
      </c>
      <c r="K42" s="74">
        <v>215</v>
      </c>
      <c r="L42" s="74" t="s">
        <v>223</v>
      </c>
      <c r="M42" s="74" t="s">
        <v>153</v>
      </c>
      <c r="N42" s="74" t="s">
        <v>154</v>
      </c>
      <c r="O42" s="74">
        <v>0.2</v>
      </c>
      <c r="P42" s="75" t="s">
        <v>224</v>
      </c>
      <c r="Q42" s="74">
        <v>0.74</v>
      </c>
      <c r="R42" s="74">
        <v>2500000</v>
      </c>
      <c r="S42" s="74" t="s">
        <v>155</v>
      </c>
      <c r="T42" s="74" t="s">
        <v>167</v>
      </c>
      <c r="U42" s="74" t="s">
        <v>157</v>
      </c>
      <c r="V42" s="74">
        <v>1500000</v>
      </c>
      <c r="W42" s="74">
        <v>1280</v>
      </c>
      <c r="X42" s="74">
        <v>32</v>
      </c>
      <c r="Y42" s="74" t="s">
        <v>158</v>
      </c>
      <c r="Z42" s="74">
        <v>9.5000000000000001E-2</v>
      </c>
      <c r="AA42" s="76">
        <v>1.1836791794111901</v>
      </c>
      <c r="AB42" s="76">
        <v>20</v>
      </c>
      <c r="AC42" s="76">
        <v>124.645281073609</v>
      </c>
      <c r="AD42" s="76">
        <v>7.6931865688023397E-3</v>
      </c>
      <c r="AE42" s="74" t="s">
        <v>159</v>
      </c>
      <c r="AF42" s="76">
        <v>92.561700424738504</v>
      </c>
      <c r="AG42" s="76">
        <v>2.7805248855967299</v>
      </c>
      <c r="AH42" s="76">
        <v>2.6564000000000001</v>
      </c>
      <c r="AI42" s="76">
        <v>1132.2463768115899</v>
      </c>
      <c r="AJ42" s="76">
        <v>0.81520000000000004</v>
      </c>
      <c r="AK42" s="76">
        <v>0.37159999999999999</v>
      </c>
      <c r="AL42" s="77">
        <v>120868</v>
      </c>
      <c r="AM42" s="77">
        <v>293.14999999999998</v>
      </c>
      <c r="AN42" s="77">
        <v>1.43634</v>
      </c>
      <c r="AO42" s="77">
        <v>211028</v>
      </c>
      <c r="AP42" s="77">
        <v>295178</v>
      </c>
      <c r="AQ42" s="77">
        <v>287.05500000000001</v>
      </c>
      <c r="AR42" s="77">
        <v>1.39053</v>
      </c>
      <c r="AS42" s="77">
        <v>1022.1</v>
      </c>
      <c r="AT42" s="77">
        <v>342.02499999999998</v>
      </c>
      <c r="AU42" s="77">
        <v>6782.04</v>
      </c>
      <c r="AV42" s="77">
        <v>0</v>
      </c>
      <c r="AW42" s="77">
        <v>0</v>
      </c>
      <c r="AX42" s="77">
        <v>1530690</v>
      </c>
      <c r="AY42" s="77">
        <v>870.06299999999999</v>
      </c>
      <c r="AZ42" s="77">
        <v>6.1288400000000003</v>
      </c>
      <c r="BA42" s="77">
        <v>651212</v>
      </c>
      <c r="BB42" s="77">
        <v>900964</v>
      </c>
      <c r="BC42" s="77">
        <v>287.05</v>
      </c>
      <c r="BD42" s="77">
        <v>1.34717</v>
      </c>
      <c r="BE42" s="77">
        <v>1113.8800000000001</v>
      </c>
      <c r="BF42" s="77">
        <v>580.02200000000005</v>
      </c>
      <c r="BG42" s="77">
        <v>7196.33</v>
      </c>
      <c r="BH42" s="77">
        <v>265.35000000000002</v>
      </c>
      <c r="BI42" s="77">
        <v>0.45748264720993298</v>
      </c>
      <c r="BJ42" s="77">
        <v>8266930</v>
      </c>
      <c r="BK42" s="77">
        <v>1486.32</v>
      </c>
      <c r="BL42" s="77">
        <v>19.377199999999998</v>
      </c>
      <c r="BM42" s="77">
        <v>1197700</v>
      </c>
      <c r="BN42" s="77">
        <v>1624340</v>
      </c>
      <c r="BO42" s="77">
        <v>287.03899999999999</v>
      </c>
      <c r="BP42" s="77">
        <v>1.3112299999999999</v>
      </c>
      <c r="BQ42" s="77">
        <v>1209.31</v>
      </c>
      <c r="BR42" s="77">
        <v>746.18</v>
      </c>
      <c r="BS42" s="77">
        <v>7338.26</v>
      </c>
      <c r="BT42" s="77">
        <v>0</v>
      </c>
      <c r="BU42" s="77">
        <v>0</v>
      </c>
      <c r="BV42" s="77">
        <v>9256170</v>
      </c>
      <c r="BW42" s="77">
        <v>1525.96</v>
      </c>
      <c r="BX42" s="77">
        <v>21.1327</v>
      </c>
      <c r="BY42" s="77">
        <v>1235190</v>
      </c>
      <c r="BZ42" s="77">
        <v>1673190</v>
      </c>
      <c r="CA42" s="77">
        <v>287.03399999999999</v>
      </c>
      <c r="CB42" s="77">
        <v>1.30982</v>
      </c>
      <c r="CC42" s="77">
        <v>1213.5</v>
      </c>
      <c r="CD42" s="77">
        <v>755.43</v>
      </c>
      <c r="CE42" s="77">
        <v>7338.26</v>
      </c>
      <c r="CF42" s="77">
        <v>0</v>
      </c>
      <c r="CG42" s="77">
        <v>0</v>
      </c>
      <c r="CH42" s="77">
        <v>5024700</v>
      </c>
      <c r="CI42" s="77">
        <v>1321.23</v>
      </c>
      <c r="CJ42" s="77">
        <v>13.248799999999999</v>
      </c>
      <c r="CK42" s="77">
        <v>1044690</v>
      </c>
      <c r="CL42" s="77">
        <v>1423940</v>
      </c>
      <c r="CM42" s="77">
        <v>287.048</v>
      </c>
      <c r="CN42" s="77">
        <v>1.3177099999999999</v>
      </c>
      <c r="CO42" s="77">
        <v>1190.54</v>
      </c>
      <c r="CP42" s="77">
        <v>706.048</v>
      </c>
      <c r="CQ42" s="77">
        <v>7338.26</v>
      </c>
      <c r="CR42" s="77">
        <v>706.04700000000003</v>
      </c>
      <c r="CS42" s="77">
        <v>0.99999858366570005</v>
      </c>
      <c r="CT42" s="77">
        <v>2207.61</v>
      </c>
      <c r="CU42" s="77">
        <v>165.25800000000001</v>
      </c>
      <c r="CV42" s="77">
        <v>4.6538400000000001E-2</v>
      </c>
      <c r="CW42" s="77">
        <v>118963</v>
      </c>
      <c r="CX42" s="77">
        <v>166399</v>
      </c>
      <c r="CY42" s="77">
        <v>287.04500000000002</v>
      </c>
      <c r="CZ42" s="77">
        <v>1.3905099999999999</v>
      </c>
      <c r="DA42" s="77">
        <v>1022.09</v>
      </c>
      <c r="DB42" s="77">
        <v>256.80099999999999</v>
      </c>
      <c r="DC42" s="77">
        <v>7338.27</v>
      </c>
      <c r="DD42" s="77">
        <v>1735.97</v>
      </c>
      <c r="DE42" s="77">
        <v>6.7599799999999997</v>
      </c>
      <c r="DF42" s="78">
        <f t="shared" ref="DF42:DF78" si="29">CV42*DD42/(0.00001716*(CU42/273)^1.5*(273+111)/(CU42+111))</f>
        <v>7191512.6887469804</v>
      </c>
      <c r="DG42" s="78">
        <f t="shared" ref="DG42:DG78" si="30">CX42+0.5*DD42^2</f>
        <v>1673194.9204500001</v>
      </c>
      <c r="DH42" s="79" t="s">
        <v>225</v>
      </c>
      <c r="DI42" s="74">
        <v>271</v>
      </c>
      <c r="DJ42" s="74" t="s">
        <v>168</v>
      </c>
      <c r="DK42" s="74">
        <v>1075</v>
      </c>
      <c r="DL42" s="80">
        <f t="shared" si="16"/>
        <v>1632.4</v>
      </c>
      <c r="DM42" s="80">
        <f t="shared" si="17"/>
        <v>5617</v>
      </c>
      <c r="DN42" s="81">
        <v>1.17283E-4</v>
      </c>
      <c r="DO42" s="74">
        <v>0.14987804900000001</v>
      </c>
      <c r="DP42" s="74">
        <v>0.3</v>
      </c>
      <c r="DQ42" s="80"/>
      <c r="DS42" s="82"/>
      <c r="DT42" s="82"/>
      <c r="DU42" s="74">
        <v>5.9179945199999997</v>
      </c>
      <c r="DV42" s="74">
        <f t="shared" si="19"/>
        <v>8.1066112020383996E-2</v>
      </c>
      <c r="DW42" s="74">
        <f t="shared" si="20"/>
        <v>209.47073365854001</v>
      </c>
      <c r="DX42" s="74">
        <f t="shared" si="21"/>
        <v>289.11933827678411</v>
      </c>
      <c r="DY42" s="74">
        <f t="shared" si="22"/>
        <v>1711.0066595480346</v>
      </c>
      <c r="DZ42" s="78">
        <f t="shared" si="23"/>
        <v>10036674.759319933</v>
      </c>
      <c r="EA42" s="74">
        <v>5.7739619199999996</v>
      </c>
      <c r="EB42" s="74">
        <f t="shared" si="24"/>
        <v>8.5899622821263996E-2</v>
      </c>
      <c r="EC42" s="74">
        <f t="shared" si="25"/>
        <v>218.70108538956003</v>
      </c>
      <c r="ED42" s="74">
        <f t="shared" si="26"/>
        <v>295.42070724835617</v>
      </c>
      <c r="EE42" s="74">
        <f t="shared" si="27"/>
        <v>1705.7479140314763</v>
      </c>
      <c r="EF42" s="78">
        <f t="shared" si="28"/>
        <v>10224581.420903774</v>
      </c>
    </row>
    <row r="43" spans="1:136">
      <c r="A43" s="68">
        <v>41</v>
      </c>
      <c r="B43" s="2" t="s">
        <v>173</v>
      </c>
      <c r="C43" s="2">
        <v>250109</v>
      </c>
      <c r="D43" s="2" t="s">
        <v>174</v>
      </c>
      <c r="E43" s="2" t="s">
        <v>226</v>
      </c>
      <c r="F43" s="2">
        <v>6.76</v>
      </c>
      <c r="G43" s="2">
        <v>1028.4000000000001</v>
      </c>
      <c r="H43" s="2">
        <v>17.2</v>
      </c>
      <c r="I43" s="2">
        <v>13.4</v>
      </c>
      <c r="J43" s="2" t="s">
        <v>151</v>
      </c>
      <c r="K43" s="2">
        <v>204</v>
      </c>
      <c r="L43" s="2" t="s">
        <v>227</v>
      </c>
      <c r="M43" s="2" t="s">
        <v>153</v>
      </c>
      <c r="N43" s="2" t="s">
        <v>154</v>
      </c>
      <c r="O43" s="2">
        <v>-0.4</v>
      </c>
      <c r="P43" s="83" t="s">
        <v>224</v>
      </c>
      <c r="Q43" s="2">
        <v>0.72</v>
      </c>
      <c r="R43" s="2">
        <v>2500000</v>
      </c>
      <c r="S43" s="2" t="s">
        <v>155</v>
      </c>
      <c r="T43" s="2" t="s">
        <v>228</v>
      </c>
      <c r="U43" s="2" t="s">
        <v>157</v>
      </c>
      <c r="V43" s="2">
        <v>1500000</v>
      </c>
      <c r="W43" s="2">
        <v>1280</v>
      </c>
      <c r="X43" s="2">
        <v>32</v>
      </c>
      <c r="Y43" s="2" t="s">
        <v>158</v>
      </c>
      <c r="Z43" s="2">
        <v>9.5000000000000001E-2</v>
      </c>
      <c r="AA43" s="2">
        <v>0.58039056552014601</v>
      </c>
      <c r="AB43">
        <v>20</v>
      </c>
      <c r="AC43" s="2">
        <v>65.442517686612206</v>
      </c>
      <c r="AD43" s="2">
        <v>3.5576846065487097E-2</v>
      </c>
      <c r="AE43" s="2" t="s">
        <v>159</v>
      </c>
      <c r="AF43" s="2">
        <v>41.291167679376002</v>
      </c>
      <c r="AG43" s="2">
        <v>1.2400774884727299</v>
      </c>
      <c r="AH43" s="2">
        <v>2.3372000000000002</v>
      </c>
      <c r="AI43" s="2">
        <v>1074.8065348237301</v>
      </c>
      <c r="AJ43" s="2">
        <v>0.89080000000000004</v>
      </c>
      <c r="AK43" s="2">
        <v>0.45040000000000002</v>
      </c>
      <c r="AL43" s="17">
        <v>60879.1</v>
      </c>
      <c r="AM43" s="17">
        <v>293.14999999999998</v>
      </c>
      <c r="AN43" s="17">
        <v>0.72346500000000002</v>
      </c>
      <c r="AO43" s="17">
        <v>211028</v>
      </c>
      <c r="AP43" s="17">
        <v>295177</v>
      </c>
      <c r="AQ43" s="17">
        <v>287.05200000000002</v>
      </c>
      <c r="AR43" s="17">
        <v>1.39052</v>
      </c>
      <c r="AS43" s="17">
        <v>1022.1</v>
      </c>
      <c r="AT43" s="17">
        <v>342.02600000000001</v>
      </c>
      <c r="AU43" s="17">
        <v>6978.91</v>
      </c>
      <c r="AV43" s="17">
        <v>0</v>
      </c>
      <c r="AW43" s="17">
        <v>0</v>
      </c>
      <c r="AX43" s="17">
        <v>692799</v>
      </c>
      <c r="AY43" s="17">
        <v>813.63099999999997</v>
      </c>
      <c r="AZ43" s="17">
        <v>2.9663300000000001</v>
      </c>
      <c r="BA43" s="17">
        <v>604870</v>
      </c>
      <c r="BB43" s="17">
        <v>838424</v>
      </c>
      <c r="BC43" s="17">
        <v>287.05099999999999</v>
      </c>
      <c r="BD43" s="17">
        <v>1.35232</v>
      </c>
      <c r="BE43" s="17">
        <v>1101.79</v>
      </c>
      <c r="BF43" s="17">
        <v>561.98</v>
      </c>
      <c r="BG43" s="17">
        <v>7349.63</v>
      </c>
      <c r="BH43" s="17">
        <v>262.137</v>
      </c>
      <c r="BI43" s="17">
        <v>0.466452542795117</v>
      </c>
      <c r="BJ43" s="18">
        <v>3595900</v>
      </c>
      <c r="BK43" s="17">
        <v>1373.49</v>
      </c>
      <c r="BL43" s="17">
        <v>9.1206200000000006</v>
      </c>
      <c r="BM43" s="17">
        <v>1092660</v>
      </c>
      <c r="BN43" s="17">
        <v>1486920</v>
      </c>
      <c r="BO43" s="17">
        <v>287.05</v>
      </c>
      <c r="BP43" s="17">
        <v>1.31545</v>
      </c>
      <c r="BQ43" s="17">
        <v>1197.01</v>
      </c>
      <c r="BR43" s="17">
        <v>719.02599999999995</v>
      </c>
      <c r="BS43" s="17">
        <v>7481.07</v>
      </c>
      <c r="BT43" s="17">
        <v>0</v>
      </c>
      <c r="BU43" s="17">
        <v>0</v>
      </c>
      <c r="BV43" s="18">
        <v>4129120</v>
      </c>
      <c r="BW43" s="17">
        <v>1419.14</v>
      </c>
      <c r="BX43" s="17">
        <v>10.136200000000001</v>
      </c>
      <c r="BY43" s="17">
        <v>1134930</v>
      </c>
      <c r="BZ43" s="17">
        <v>1542290</v>
      </c>
      <c r="CA43" s="17">
        <v>287.04899999999998</v>
      </c>
      <c r="CB43" s="17">
        <v>1.3136300000000001</v>
      </c>
      <c r="CC43" s="17">
        <v>1202.3</v>
      </c>
      <c r="CD43" s="17">
        <v>730.15899999999999</v>
      </c>
      <c r="CE43" s="17">
        <v>7481.07</v>
      </c>
      <c r="CF43" s="17">
        <v>0</v>
      </c>
      <c r="CG43" s="17">
        <v>0</v>
      </c>
      <c r="CH43" s="17">
        <v>2236860</v>
      </c>
      <c r="CI43" s="17">
        <v>1225.6600000000001</v>
      </c>
      <c r="CJ43" s="17">
        <v>6.3578099999999997</v>
      </c>
      <c r="CK43" s="17">
        <v>958226</v>
      </c>
      <c r="CL43" s="17">
        <v>1310050</v>
      </c>
      <c r="CM43" s="17">
        <v>287.05200000000002</v>
      </c>
      <c r="CN43" s="17">
        <v>1.3222400000000001</v>
      </c>
      <c r="CO43" s="17">
        <v>1177.8499999999999</v>
      </c>
      <c r="CP43" s="17">
        <v>681.524</v>
      </c>
      <c r="CQ43" s="17">
        <v>7481.07</v>
      </c>
      <c r="CR43" s="17">
        <v>681.52300000000002</v>
      </c>
      <c r="CS43" s="17">
        <v>0.99999853270024197</v>
      </c>
      <c r="CT43" s="17">
        <v>995.94899999999996</v>
      </c>
      <c r="CU43" s="17">
        <v>152.31299999999999</v>
      </c>
      <c r="CV43" s="17">
        <v>2.2777700000000001E-2</v>
      </c>
      <c r="CW43" s="17">
        <v>109645</v>
      </c>
      <c r="CX43" s="17">
        <v>153369</v>
      </c>
      <c r="CY43" s="17">
        <v>287.07100000000003</v>
      </c>
      <c r="CZ43" s="17">
        <v>1.39055</v>
      </c>
      <c r="DA43" s="17">
        <v>1022.12</v>
      </c>
      <c r="DB43" s="17">
        <v>246.53800000000001</v>
      </c>
      <c r="DC43" s="17">
        <v>7481.07</v>
      </c>
      <c r="DD43" s="17">
        <v>1666.69</v>
      </c>
      <c r="DE43" s="17">
        <v>6.76037</v>
      </c>
      <c r="DF43" s="84">
        <f t="shared" si="29"/>
        <v>3640214.7400395148</v>
      </c>
      <c r="DG43" s="19">
        <f t="shared" si="30"/>
        <v>1542296.7780500001</v>
      </c>
      <c r="DI43" s="2">
        <v>272</v>
      </c>
      <c r="DJ43" s="2" t="s">
        <v>168</v>
      </c>
      <c r="DK43" s="2">
        <v>5490</v>
      </c>
      <c r="DL43" s="16">
        <f t="shared" si="16"/>
        <v>6165.6</v>
      </c>
      <c r="DM43" s="16">
        <f t="shared" si="17"/>
        <v>9671.4000000000015</v>
      </c>
      <c r="DN43" s="71">
        <v>1.15776E-4</v>
      </c>
      <c r="DO43" s="2">
        <v>0.30108433699999998</v>
      </c>
      <c r="DP43" s="2">
        <v>0.44927710799999998</v>
      </c>
      <c r="DQ43" s="16"/>
      <c r="DT43" s="72" t="s">
        <v>229</v>
      </c>
      <c r="DU43" s="2">
        <v>5.9179945199999997</v>
      </c>
      <c r="DV43" s="2">
        <f t="shared" si="19"/>
        <v>3.9676902939652002E-2</v>
      </c>
      <c r="DW43" s="2">
        <f t="shared" si="20"/>
        <v>193.06245903818998</v>
      </c>
      <c r="DX43" s="2">
        <f t="shared" si="21"/>
        <v>277.56474242733401</v>
      </c>
      <c r="DY43" s="2">
        <f t="shared" si="22"/>
        <v>1642.6266246301741</v>
      </c>
      <c r="DZ43" s="19">
        <f t="shared" si="23"/>
        <v>5056943.9354395298</v>
      </c>
      <c r="EA43" s="2">
        <v>5.7739619199999996</v>
      </c>
      <c r="EB43" s="2">
        <f t="shared" si="24"/>
        <v>4.2042610806041998E-2</v>
      </c>
      <c r="EC43" s="2">
        <f t="shared" si="25"/>
        <v>201.56977827966</v>
      </c>
      <c r="ED43" s="2">
        <f t="shared" si="26"/>
        <v>283.61427846307157</v>
      </c>
      <c r="EE43" s="2">
        <f t="shared" si="27"/>
        <v>1637.5780438140512</v>
      </c>
      <c r="EF43" s="19">
        <f t="shared" si="28"/>
        <v>5147495.8419870296</v>
      </c>
    </row>
    <row r="44" spans="1:136" s="3" customFormat="1">
      <c r="A44" s="85">
        <v>42</v>
      </c>
      <c r="B44" s="3" t="s">
        <v>173</v>
      </c>
      <c r="C44" s="3">
        <v>250116</v>
      </c>
      <c r="D44" s="3" t="s">
        <v>174</v>
      </c>
      <c r="E44" s="3" t="s">
        <v>230</v>
      </c>
      <c r="F44" s="2">
        <v>6.76</v>
      </c>
      <c r="G44" s="3">
        <v>1022.8</v>
      </c>
      <c r="H44" s="3">
        <v>19.600000000000001</v>
      </c>
      <c r="I44" s="3">
        <v>24.5</v>
      </c>
      <c r="J44" s="3" t="s">
        <v>151</v>
      </c>
      <c r="K44" s="3">
        <v>213.2</v>
      </c>
      <c r="L44" s="3" t="s">
        <v>231</v>
      </c>
      <c r="M44" s="3" t="s">
        <v>153</v>
      </c>
      <c r="N44" s="3" t="s">
        <v>154</v>
      </c>
      <c r="O44" s="3">
        <v>0.2</v>
      </c>
      <c r="P44" s="3">
        <v>22.2</v>
      </c>
      <c r="Q44" s="3">
        <v>0.68500000000000005</v>
      </c>
      <c r="R44" s="3">
        <v>2500000</v>
      </c>
      <c r="S44" s="3" t="s">
        <v>155</v>
      </c>
      <c r="T44" s="3" t="s">
        <v>167</v>
      </c>
      <c r="U44" s="3" t="s">
        <v>157</v>
      </c>
      <c r="V44" s="3">
        <v>1500000</v>
      </c>
      <c r="W44" s="3">
        <v>1280</v>
      </c>
      <c r="X44" s="3">
        <v>32</v>
      </c>
      <c r="Y44" s="3" t="s">
        <v>158</v>
      </c>
      <c r="Z44" s="3">
        <v>9.5000000000000001E-2</v>
      </c>
      <c r="AA44" s="63">
        <v>1.2008000000000001</v>
      </c>
      <c r="AB44" s="63">
        <f t="shared" ref="AB44:AB56" si="31">P44</f>
        <v>22.2</v>
      </c>
      <c r="AC44" s="63">
        <v>123.447318221676</v>
      </c>
      <c r="AD44" s="63">
        <v>2.5647187503126299E-2</v>
      </c>
      <c r="AE44" s="63">
        <v>29.752490000000002</v>
      </c>
      <c r="AF44" s="63">
        <v>90.883948855524807</v>
      </c>
      <c r="AG44" s="63">
        <v>2.7404079088985198</v>
      </c>
      <c r="AH44" s="63">
        <v>3.0516000000000001</v>
      </c>
      <c r="AI44" s="63">
        <v>1122.08258527828</v>
      </c>
      <c r="AJ44" s="63">
        <v>0.78200000000000003</v>
      </c>
      <c r="AK44" s="63">
        <v>0.33160000000000001</v>
      </c>
      <c r="AL44" s="17">
        <v>120080</v>
      </c>
      <c r="AM44" s="17">
        <v>295.35000000000002</v>
      </c>
      <c r="AN44" s="17">
        <v>1.4163399999999999</v>
      </c>
      <c r="AO44" s="17">
        <v>212612</v>
      </c>
      <c r="AP44" s="17">
        <v>297393</v>
      </c>
      <c r="AQ44" s="17">
        <v>287.05500000000001</v>
      </c>
      <c r="AR44" s="17">
        <v>1.39053</v>
      </c>
      <c r="AS44" s="17">
        <v>1022.1</v>
      </c>
      <c r="AT44" s="17">
        <v>343.30599999999998</v>
      </c>
      <c r="AU44" s="17">
        <v>6791.63</v>
      </c>
      <c r="AV44" s="17">
        <v>0</v>
      </c>
      <c r="AW44" s="17">
        <v>0</v>
      </c>
      <c r="AX44" s="17">
        <v>1481670</v>
      </c>
      <c r="AY44" s="17">
        <v>861.77300000000002</v>
      </c>
      <c r="AZ44" s="17">
        <v>5.9896500000000001</v>
      </c>
      <c r="BA44" s="17">
        <v>644355</v>
      </c>
      <c r="BB44" s="17">
        <v>891727</v>
      </c>
      <c r="BC44" s="17">
        <v>287.05</v>
      </c>
      <c r="BD44" s="17">
        <v>1.3479000000000001</v>
      </c>
      <c r="BE44" s="17">
        <v>1112.1500000000001</v>
      </c>
      <c r="BF44" s="17">
        <v>577.41</v>
      </c>
      <c r="BG44" s="17">
        <v>7195.02</v>
      </c>
      <c r="BH44" s="17">
        <v>265.33300000000003</v>
      </c>
      <c r="BI44" s="17">
        <v>0.45952269617775898</v>
      </c>
      <c r="BJ44" s="18">
        <v>7929500</v>
      </c>
      <c r="BK44" s="17">
        <v>1467.48</v>
      </c>
      <c r="BL44" s="17">
        <v>18.8248</v>
      </c>
      <c r="BM44" s="17">
        <v>1180010</v>
      </c>
      <c r="BN44" s="17">
        <v>1601230</v>
      </c>
      <c r="BO44" s="17">
        <v>287.041</v>
      </c>
      <c r="BP44" s="17">
        <v>1.3119000000000001</v>
      </c>
      <c r="BQ44" s="17">
        <v>1207.33</v>
      </c>
      <c r="BR44" s="17">
        <v>741.73</v>
      </c>
      <c r="BS44" s="17">
        <v>7334.58</v>
      </c>
      <c r="BT44" s="17">
        <v>0</v>
      </c>
      <c r="BU44" s="17">
        <v>0</v>
      </c>
      <c r="BV44" s="18">
        <v>9088400</v>
      </c>
      <c r="BW44" s="17">
        <v>1514.97</v>
      </c>
      <c r="BX44" s="17">
        <v>20.900099999999998</v>
      </c>
      <c r="BY44" s="17">
        <v>1224770</v>
      </c>
      <c r="BZ44" s="17">
        <v>1659620</v>
      </c>
      <c r="CA44" s="17">
        <v>287.03500000000003</v>
      </c>
      <c r="CB44" s="17">
        <v>1.3102100000000001</v>
      </c>
      <c r="CC44" s="17">
        <v>1212.3399999999999</v>
      </c>
      <c r="CD44" s="17">
        <v>752.88199999999995</v>
      </c>
      <c r="CE44" s="17">
        <v>7334.58</v>
      </c>
      <c r="CF44" s="17">
        <v>0</v>
      </c>
      <c r="CG44" s="17">
        <v>0</v>
      </c>
      <c r="CH44" s="17">
        <v>4932750</v>
      </c>
      <c r="CI44" s="17">
        <v>1311.36</v>
      </c>
      <c r="CJ44" s="17">
        <v>13.104200000000001</v>
      </c>
      <c r="CK44" s="17">
        <v>1035690</v>
      </c>
      <c r="CL44" s="17">
        <v>1412120</v>
      </c>
      <c r="CM44" s="17">
        <v>287.048</v>
      </c>
      <c r="CN44" s="17">
        <v>1.3181400000000001</v>
      </c>
      <c r="CO44" s="17">
        <v>1189.32</v>
      </c>
      <c r="CP44" s="17">
        <v>703.56200000000001</v>
      </c>
      <c r="CQ44" s="17">
        <v>7334.58</v>
      </c>
      <c r="CR44" s="17">
        <v>703.56100000000004</v>
      </c>
      <c r="CS44" s="17">
        <v>0.99999857866115605</v>
      </c>
      <c r="CT44" s="17">
        <v>2171.2800000000002</v>
      </c>
      <c r="CU44" s="17">
        <v>163.91399999999999</v>
      </c>
      <c r="CV44" s="17">
        <v>4.6147800000000003E-2</v>
      </c>
      <c r="CW44" s="17">
        <v>117996</v>
      </c>
      <c r="CX44" s="17">
        <v>165047</v>
      </c>
      <c r="CY44" s="17">
        <v>287.04399999999998</v>
      </c>
      <c r="CZ44" s="17">
        <v>1.3905099999999999</v>
      </c>
      <c r="DA44" s="17">
        <v>1022.09</v>
      </c>
      <c r="DB44" s="17">
        <v>255.755</v>
      </c>
      <c r="DC44" s="17">
        <v>7334.59</v>
      </c>
      <c r="DD44" s="17">
        <v>1728.91</v>
      </c>
      <c r="DE44" s="17">
        <v>6.76004</v>
      </c>
      <c r="DF44" s="86">
        <f t="shared" si="29"/>
        <v>7154703.401749027</v>
      </c>
      <c r="DG44" s="86">
        <f t="shared" si="30"/>
        <v>1659611.8940500002</v>
      </c>
      <c r="DH44" s="64"/>
      <c r="DI44" s="3">
        <v>275</v>
      </c>
      <c r="DK44" s="3">
        <v>3952</v>
      </c>
      <c r="DL44" s="16">
        <f t="shared" si="16"/>
        <v>4449.3999999999996</v>
      </c>
      <c r="DM44" s="16">
        <f t="shared" si="17"/>
        <v>9026.7999999999993</v>
      </c>
      <c r="DU44" s="2">
        <v>5.9179945199999997</v>
      </c>
      <c r="DV44" s="2">
        <f t="shared" si="19"/>
        <v>8.0385718552727997E-2</v>
      </c>
      <c r="DW44" s="2">
        <f t="shared" si="20"/>
        <v>207.76716308382001</v>
      </c>
      <c r="DX44" s="2">
        <f t="shared" si="21"/>
        <v>287.94169945202282</v>
      </c>
      <c r="DY44" s="2">
        <f t="shared" si="22"/>
        <v>1704.037399436558</v>
      </c>
      <c r="DZ44" s="19">
        <f t="shared" si="23"/>
        <v>9980715.9488523249</v>
      </c>
      <c r="EA44" s="2">
        <v>5.7739619199999996</v>
      </c>
      <c r="EB44" s="2">
        <f t="shared" si="24"/>
        <v>8.5178661364188002E-2</v>
      </c>
      <c r="EC44" s="2">
        <f t="shared" si="25"/>
        <v>216.92244678348001</v>
      </c>
      <c r="ED44" s="2">
        <f t="shared" si="26"/>
        <v>294.21740173248287</v>
      </c>
      <c r="EE44" s="2">
        <f t="shared" si="27"/>
        <v>1698.8000738046981</v>
      </c>
      <c r="EF44" s="19">
        <f t="shared" si="28"/>
        <v>10166768.826156626</v>
      </c>
    </row>
    <row r="45" spans="1:136" s="3" customFormat="1">
      <c r="A45" s="85">
        <v>43</v>
      </c>
      <c r="B45" s="3" t="s">
        <v>173</v>
      </c>
      <c r="C45" s="3">
        <v>250116</v>
      </c>
      <c r="D45" s="3" t="s">
        <v>174</v>
      </c>
      <c r="E45" s="3" t="s">
        <v>230</v>
      </c>
      <c r="F45" s="2">
        <v>6.76</v>
      </c>
      <c r="G45" s="3">
        <v>1023.7</v>
      </c>
      <c r="H45" s="3">
        <v>19.600000000000001</v>
      </c>
      <c r="I45" s="3">
        <v>25.3</v>
      </c>
      <c r="J45" s="3" t="s">
        <v>151</v>
      </c>
      <c r="K45" s="3">
        <v>224.4</v>
      </c>
      <c r="L45" s="3" t="s">
        <v>232</v>
      </c>
      <c r="M45" s="3" t="s">
        <v>153</v>
      </c>
      <c r="N45" s="3" t="s">
        <v>154</v>
      </c>
      <c r="O45" s="3">
        <v>0.2</v>
      </c>
      <c r="P45" s="3">
        <v>20.3</v>
      </c>
      <c r="Q45" s="3">
        <v>0.61</v>
      </c>
      <c r="R45" s="3">
        <v>2500000</v>
      </c>
      <c r="S45" s="3" t="s">
        <v>155</v>
      </c>
      <c r="T45" s="3" t="s">
        <v>167</v>
      </c>
      <c r="U45" s="3" t="s">
        <v>157</v>
      </c>
      <c r="V45" s="3">
        <v>1500000</v>
      </c>
      <c r="W45" s="3">
        <v>1280</v>
      </c>
      <c r="X45" s="3">
        <v>32</v>
      </c>
      <c r="Y45" s="3" t="s">
        <v>158</v>
      </c>
      <c r="Z45" s="3">
        <v>9.5000000000000001E-2</v>
      </c>
      <c r="AA45" s="63">
        <v>1.2017</v>
      </c>
      <c r="AB45" s="63">
        <f t="shared" si="31"/>
        <v>20.3</v>
      </c>
      <c r="AC45" s="63">
        <v>121.755207283519</v>
      </c>
      <c r="AD45" s="63">
        <v>3.6322764187491002E-2</v>
      </c>
      <c r="AE45" s="63">
        <v>28.7062597145162</v>
      </c>
      <c r="AF45" s="63">
        <v>85.366103947441601</v>
      </c>
      <c r="AG45" s="63">
        <v>3.4310228617182998</v>
      </c>
      <c r="AH45" s="63">
        <v>3.7307999999999999</v>
      </c>
      <c r="AI45" s="63">
        <v>1156.3367252543901</v>
      </c>
      <c r="AJ45" s="63">
        <v>0.75439999999999996</v>
      </c>
      <c r="AK45" s="63">
        <v>0.4516</v>
      </c>
      <c r="AL45" s="17">
        <v>120170</v>
      </c>
      <c r="AM45" s="17">
        <v>293.45</v>
      </c>
      <c r="AN45" s="17">
        <v>1.42658</v>
      </c>
      <c r="AO45" s="17">
        <v>211244</v>
      </c>
      <c r="AP45" s="17">
        <v>295480</v>
      </c>
      <c r="AQ45" s="17">
        <v>287.05500000000001</v>
      </c>
      <c r="AR45" s="17">
        <v>1.39053</v>
      </c>
      <c r="AS45" s="17">
        <v>1022.1</v>
      </c>
      <c r="AT45" s="17">
        <v>342.2</v>
      </c>
      <c r="AU45" s="17">
        <v>6784.75</v>
      </c>
      <c r="AV45" s="17">
        <v>0</v>
      </c>
      <c r="AW45" s="17">
        <v>0</v>
      </c>
      <c r="AX45" s="17">
        <v>1587450</v>
      </c>
      <c r="AY45" s="17">
        <v>894.64200000000005</v>
      </c>
      <c r="AZ45" s="17">
        <v>6.18147</v>
      </c>
      <c r="BA45" s="17">
        <v>671621</v>
      </c>
      <c r="BB45" s="17">
        <v>928429</v>
      </c>
      <c r="BC45" s="17">
        <v>287.05200000000002</v>
      </c>
      <c r="BD45" s="17">
        <v>1.3450200000000001</v>
      </c>
      <c r="BE45" s="17">
        <v>1119.05</v>
      </c>
      <c r="BF45" s="17">
        <v>587.67999999999995</v>
      </c>
      <c r="BG45" s="17">
        <v>7216.98</v>
      </c>
      <c r="BH45" s="17">
        <v>266.86399999999998</v>
      </c>
      <c r="BI45" s="17">
        <v>0.454097468009801</v>
      </c>
      <c r="BJ45" s="18">
        <v>8704410</v>
      </c>
      <c r="BK45" s="17">
        <v>1534.86</v>
      </c>
      <c r="BL45" s="17">
        <v>19.7577</v>
      </c>
      <c r="BM45" s="17">
        <v>1243650</v>
      </c>
      <c r="BN45" s="17">
        <v>1684200</v>
      </c>
      <c r="BO45" s="17">
        <v>287.036</v>
      </c>
      <c r="BP45" s="17">
        <v>1.3095000000000001</v>
      </c>
      <c r="BQ45" s="17">
        <v>1214.44</v>
      </c>
      <c r="BR45" s="17">
        <v>757.48500000000001</v>
      </c>
      <c r="BS45" s="17">
        <v>7363.11</v>
      </c>
      <c r="BT45" s="17">
        <v>0</v>
      </c>
      <c r="BU45" s="17">
        <v>0</v>
      </c>
      <c r="BV45" s="18">
        <v>8536610</v>
      </c>
      <c r="BW45" s="17">
        <v>1527.94</v>
      </c>
      <c r="BX45" s="17">
        <v>19.464400000000001</v>
      </c>
      <c r="BY45" s="17">
        <v>1237070</v>
      </c>
      <c r="BZ45" s="17">
        <v>1675650</v>
      </c>
      <c r="CA45" s="17">
        <v>287.03699999999998</v>
      </c>
      <c r="CB45" s="17">
        <v>1.30975</v>
      </c>
      <c r="CC45" s="17">
        <v>1213.71</v>
      </c>
      <c r="CD45" s="17">
        <v>755.88800000000003</v>
      </c>
      <c r="CE45" s="17">
        <v>7363.11</v>
      </c>
      <c r="CF45" s="17">
        <v>0</v>
      </c>
      <c r="CG45" s="17">
        <v>0</v>
      </c>
      <c r="CH45" s="17">
        <v>4634260</v>
      </c>
      <c r="CI45" s="17">
        <v>1323.01</v>
      </c>
      <c r="CJ45" s="17">
        <v>12.2028</v>
      </c>
      <c r="CK45" s="17">
        <v>1046310</v>
      </c>
      <c r="CL45" s="17">
        <v>1426080</v>
      </c>
      <c r="CM45" s="17">
        <v>287.04899999999998</v>
      </c>
      <c r="CN45" s="17">
        <v>1.3176300000000001</v>
      </c>
      <c r="CO45" s="17">
        <v>1190.76</v>
      </c>
      <c r="CP45" s="17">
        <v>706.495</v>
      </c>
      <c r="CQ45" s="17">
        <v>7363.11</v>
      </c>
      <c r="CR45" s="17">
        <v>706.495</v>
      </c>
      <c r="CS45" s="17">
        <v>1</v>
      </c>
      <c r="CT45" s="17">
        <v>2036.14</v>
      </c>
      <c r="CU45" s="17">
        <v>165.505</v>
      </c>
      <c r="CV45" s="17">
        <v>4.2859899999999999E-2</v>
      </c>
      <c r="CW45" s="17">
        <v>119141</v>
      </c>
      <c r="CX45" s="17">
        <v>166648</v>
      </c>
      <c r="CY45" s="17">
        <v>287.041</v>
      </c>
      <c r="CZ45" s="17">
        <v>1.3905099999999999</v>
      </c>
      <c r="DA45" s="17">
        <v>1022.09</v>
      </c>
      <c r="DB45" s="17">
        <v>256.99299999999999</v>
      </c>
      <c r="DC45" s="17">
        <v>7363.12</v>
      </c>
      <c r="DD45" s="17">
        <v>1737.24</v>
      </c>
      <c r="DE45" s="17">
        <v>6.7598799999999999</v>
      </c>
      <c r="DF45" s="86">
        <f t="shared" si="29"/>
        <v>6619005.5867672833</v>
      </c>
      <c r="DG45" s="86">
        <f t="shared" si="30"/>
        <v>1675649.4088000001</v>
      </c>
      <c r="DH45" s="64"/>
      <c r="DI45" s="3">
        <v>276</v>
      </c>
      <c r="DK45" s="3">
        <v>2444</v>
      </c>
      <c r="DL45" s="16">
        <f t="shared" si="16"/>
        <v>3121.4</v>
      </c>
      <c r="DM45" s="16">
        <f t="shared" si="17"/>
        <v>8717.6</v>
      </c>
      <c r="DU45" s="2">
        <v>5.9179945199999997</v>
      </c>
      <c r="DV45" s="2">
        <f t="shared" si="19"/>
        <v>7.4658463861723992E-2</v>
      </c>
      <c r="DW45" s="2">
        <f t="shared" si="20"/>
        <v>209.78381545315</v>
      </c>
      <c r="DX45" s="2">
        <f t="shared" si="21"/>
        <v>289.33550142626228</v>
      </c>
      <c r="DY45" s="2">
        <f t="shared" si="22"/>
        <v>1712.2859118820722</v>
      </c>
      <c r="DZ45" s="19">
        <f t="shared" si="23"/>
        <v>9238581.0831717215</v>
      </c>
      <c r="EA45" s="2">
        <v>5.7739619199999996</v>
      </c>
      <c r="EB45" s="2">
        <f t="shared" si="24"/>
        <v>7.9109923077653993E-2</v>
      </c>
      <c r="EC45" s="2">
        <f t="shared" si="25"/>
        <v>219.02796316910002</v>
      </c>
      <c r="ED45" s="2">
        <f t="shared" si="26"/>
        <v>295.64158168339219</v>
      </c>
      <c r="EE45" s="2">
        <f t="shared" si="27"/>
        <v>1707.0232346084758</v>
      </c>
      <c r="EF45" s="19">
        <f t="shared" si="28"/>
        <v>9411682.1031494662</v>
      </c>
    </row>
    <row r="46" spans="1:136">
      <c r="A46" s="1">
        <v>44</v>
      </c>
      <c r="B46" s="2" t="s">
        <v>173</v>
      </c>
      <c r="C46" s="2">
        <v>250122</v>
      </c>
      <c r="D46" s="2" t="s">
        <v>174</v>
      </c>
      <c r="E46" s="2" t="s">
        <v>233</v>
      </c>
      <c r="F46" s="2">
        <v>6.76</v>
      </c>
      <c r="G46" s="2">
        <v>1024.0999999999999</v>
      </c>
      <c r="H46" s="2">
        <v>20.2</v>
      </c>
      <c r="I46" s="2">
        <v>28.1</v>
      </c>
      <c r="J46" s="2" t="s">
        <v>151</v>
      </c>
      <c r="K46" s="2">
        <v>218.35</v>
      </c>
      <c r="L46" s="2" t="s">
        <v>234</v>
      </c>
      <c r="M46" s="2" t="s">
        <v>153</v>
      </c>
      <c r="N46" s="2" t="s">
        <v>154</v>
      </c>
      <c r="O46" s="2">
        <v>0.2</v>
      </c>
      <c r="P46" s="2">
        <v>22.1</v>
      </c>
      <c r="Q46" s="2">
        <v>0.67</v>
      </c>
      <c r="R46" s="2">
        <v>2500000</v>
      </c>
      <c r="S46" s="2" t="s">
        <v>155</v>
      </c>
      <c r="T46" s="2" t="s">
        <v>167</v>
      </c>
      <c r="U46" s="2" t="s">
        <v>157</v>
      </c>
      <c r="V46" s="2">
        <v>1500000</v>
      </c>
      <c r="W46" s="2">
        <v>1280</v>
      </c>
      <c r="X46" s="2">
        <v>32</v>
      </c>
      <c r="Y46" s="2" t="s">
        <v>158</v>
      </c>
      <c r="Z46" s="2">
        <v>9.5000000000000001E-2</v>
      </c>
      <c r="AA46" s="87">
        <v>1.2020999999999999</v>
      </c>
      <c r="AB46" s="63">
        <f t="shared" si="31"/>
        <v>22.1</v>
      </c>
      <c r="AC46" s="87">
        <v>121.73360570942199</v>
      </c>
      <c r="AD46" s="87">
        <v>3.1725822144640099E-2</v>
      </c>
      <c r="AE46" s="87">
        <v>29.212275671258801</v>
      </c>
      <c r="AF46" s="87">
        <v>89.5053110057504</v>
      </c>
      <c r="AG46" s="87">
        <v>2.70005638996731</v>
      </c>
      <c r="AH46" s="87">
        <v>3.2892000000000001</v>
      </c>
      <c r="AI46" s="87">
        <v>1116.07142857143</v>
      </c>
      <c r="AJ46" s="87">
        <v>0.78320000000000001</v>
      </c>
      <c r="AK46" s="87">
        <v>0.372</v>
      </c>
      <c r="AL46" s="17">
        <v>120210</v>
      </c>
      <c r="AM46" s="17">
        <v>295.25</v>
      </c>
      <c r="AN46" s="17">
        <v>1.4183600000000001</v>
      </c>
      <c r="AO46" s="17">
        <v>212540</v>
      </c>
      <c r="AP46" s="17">
        <v>297293</v>
      </c>
      <c r="AQ46" s="17">
        <v>287.05500000000001</v>
      </c>
      <c r="AR46" s="17">
        <v>1.39053</v>
      </c>
      <c r="AS46" s="17">
        <v>1022.1</v>
      </c>
      <c r="AT46" s="17">
        <v>343.24799999999999</v>
      </c>
      <c r="AU46" s="17">
        <v>6790.97</v>
      </c>
      <c r="AV46" s="17">
        <v>0</v>
      </c>
      <c r="AW46" s="17">
        <v>0</v>
      </c>
      <c r="AX46" s="17">
        <v>1467500</v>
      </c>
      <c r="AY46" s="17">
        <v>855.72500000000002</v>
      </c>
      <c r="AZ46" s="17">
        <v>5.9743000000000004</v>
      </c>
      <c r="BA46" s="17">
        <v>639361</v>
      </c>
      <c r="BB46" s="17">
        <v>884997</v>
      </c>
      <c r="BC46" s="17">
        <v>287.05</v>
      </c>
      <c r="BD46" s="17">
        <v>1.34843</v>
      </c>
      <c r="BE46" s="17">
        <v>1110.8800000000001</v>
      </c>
      <c r="BF46" s="17">
        <v>575.49400000000003</v>
      </c>
      <c r="BG46" s="17">
        <v>7189.96</v>
      </c>
      <c r="BH46" s="17">
        <v>264.96600000000001</v>
      </c>
      <c r="BI46" s="17">
        <v>0.460414878347993</v>
      </c>
      <c r="BJ46" s="18">
        <v>7822640</v>
      </c>
      <c r="BK46" s="17">
        <v>1455.5</v>
      </c>
      <c r="BL46" s="17">
        <v>18.7239</v>
      </c>
      <c r="BM46" s="17">
        <v>1168790</v>
      </c>
      <c r="BN46" s="17">
        <v>1586580</v>
      </c>
      <c r="BO46" s="17">
        <v>287.04199999999997</v>
      </c>
      <c r="BP46" s="17">
        <v>1.31233</v>
      </c>
      <c r="BQ46" s="17">
        <v>1206.08</v>
      </c>
      <c r="BR46" s="17">
        <v>738.88199999999995</v>
      </c>
      <c r="BS46" s="17">
        <v>7328.45</v>
      </c>
      <c r="BT46" s="17">
        <v>0</v>
      </c>
      <c r="BU46" s="17">
        <v>0</v>
      </c>
      <c r="BV46" s="18">
        <v>8950530</v>
      </c>
      <c r="BW46" s="17">
        <v>1502.1</v>
      </c>
      <c r="BX46" s="17">
        <v>20.7593</v>
      </c>
      <c r="BY46" s="17">
        <v>1212590</v>
      </c>
      <c r="BZ46" s="17">
        <v>1643750</v>
      </c>
      <c r="CA46" s="17">
        <v>287.036</v>
      </c>
      <c r="CB46" s="17">
        <v>1.31067</v>
      </c>
      <c r="CC46" s="17">
        <v>1210.97</v>
      </c>
      <c r="CD46" s="17">
        <v>749.88199999999995</v>
      </c>
      <c r="CE46" s="17">
        <v>7328.45</v>
      </c>
      <c r="CF46" s="17">
        <v>0</v>
      </c>
      <c r="CG46" s="17">
        <v>0</v>
      </c>
      <c r="CH46" s="17">
        <v>4856920</v>
      </c>
      <c r="CI46" s="17">
        <v>1299.82</v>
      </c>
      <c r="CJ46" s="17">
        <v>13.0174</v>
      </c>
      <c r="CK46" s="17">
        <v>1025200</v>
      </c>
      <c r="CL46" s="17">
        <v>1398300</v>
      </c>
      <c r="CM46" s="17">
        <v>287.048</v>
      </c>
      <c r="CN46" s="17">
        <v>1.31864</v>
      </c>
      <c r="CO46" s="17">
        <v>1187.9100000000001</v>
      </c>
      <c r="CP46" s="17">
        <v>700.63699999999994</v>
      </c>
      <c r="CQ46" s="17">
        <v>7328.45</v>
      </c>
      <c r="CR46" s="17">
        <v>700.63699999999994</v>
      </c>
      <c r="CS46" s="17">
        <v>1</v>
      </c>
      <c r="CT46" s="17">
        <v>2141.91</v>
      </c>
      <c r="CU46" s="17">
        <v>162.33099999999999</v>
      </c>
      <c r="CV46" s="17">
        <v>4.5967599999999997E-2</v>
      </c>
      <c r="CW46" s="17">
        <v>116856</v>
      </c>
      <c r="CX46" s="17">
        <v>163452</v>
      </c>
      <c r="CY46" s="17">
        <v>287.04399999999998</v>
      </c>
      <c r="CZ46" s="17">
        <v>1.3905099999999999</v>
      </c>
      <c r="DA46" s="17">
        <v>1022.09</v>
      </c>
      <c r="DB46" s="17">
        <v>254.51599999999999</v>
      </c>
      <c r="DC46" s="17">
        <v>7328.46</v>
      </c>
      <c r="DD46" s="17">
        <v>1720.64</v>
      </c>
      <c r="DE46" s="17">
        <v>6.7604300000000004</v>
      </c>
      <c r="DF46" s="19">
        <f t="shared" si="29"/>
        <v>7155236.6364396773</v>
      </c>
      <c r="DG46" s="19">
        <f t="shared" si="30"/>
        <v>1643753.0048000002</v>
      </c>
      <c r="DI46" s="2">
        <v>279</v>
      </c>
      <c r="DK46" s="2">
        <v>1595</v>
      </c>
      <c r="DL46" s="16">
        <f t="shared" si="16"/>
        <v>2153</v>
      </c>
      <c r="DM46" s="16">
        <f t="shared" si="17"/>
        <v>7086.8</v>
      </c>
      <c r="DU46" s="2">
        <v>5.9179945199999997</v>
      </c>
      <c r="DV46" s="2">
        <f t="shared" si="19"/>
        <v>8.0071824792175991E-2</v>
      </c>
      <c r="DW46" s="2">
        <f t="shared" si="20"/>
        <v>205.76065101552999</v>
      </c>
      <c r="DX46" s="2">
        <f t="shared" si="21"/>
        <v>286.54677162804654</v>
      </c>
      <c r="DY46" s="2">
        <f t="shared" si="22"/>
        <v>1695.7822242184709</v>
      </c>
      <c r="DZ46" s="19">
        <f t="shared" si="23"/>
        <v>9975461.7116017416</v>
      </c>
      <c r="EA46" s="2">
        <v>5.7739619199999996</v>
      </c>
      <c r="EB46" s="2">
        <f t="shared" si="24"/>
        <v>8.4846051905495989E-2</v>
      </c>
      <c r="EC46" s="2">
        <f t="shared" si="25"/>
        <v>214.82751753241999</v>
      </c>
      <c r="ED46" s="2">
        <f t="shared" si="26"/>
        <v>292.79207139389104</v>
      </c>
      <c r="EE46" s="2">
        <f t="shared" si="27"/>
        <v>1690.570270706248</v>
      </c>
      <c r="EF46" s="19">
        <f t="shared" si="28"/>
        <v>10160456.554334328</v>
      </c>
    </row>
    <row r="47" spans="1:136">
      <c r="A47" s="1">
        <v>45</v>
      </c>
      <c r="B47" s="2" t="s">
        <v>173</v>
      </c>
      <c r="C47" s="2">
        <v>250122</v>
      </c>
      <c r="D47" s="2" t="s">
        <v>174</v>
      </c>
      <c r="E47" s="2" t="s">
        <v>233</v>
      </c>
      <c r="F47" s="2">
        <v>6.76</v>
      </c>
      <c r="G47" s="2">
        <v>1024.4000000000001</v>
      </c>
      <c r="H47" s="2">
        <v>20.2</v>
      </c>
      <c r="I47" s="2">
        <v>28.9</v>
      </c>
      <c r="J47" s="2" t="s">
        <v>151</v>
      </c>
      <c r="K47" s="2">
        <v>214.8</v>
      </c>
      <c r="L47" s="2" t="s">
        <v>235</v>
      </c>
      <c r="M47" s="2" t="s">
        <v>153</v>
      </c>
      <c r="N47" s="2" t="s">
        <v>154</v>
      </c>
      <c r="O47" s="2">
        <v>0.2</v>
      </c>
      <c r="P47" s="2">
        <v>22.2</v>
      </c>
      <c r="Q47" s="2">
        <v>0.65</v>
      </c>
      <c r="R47" s="2">
        <v>2500000</v>
      </c>
      <c r="S47" s="2" t="s">
        <v>155</v>
      </c>
      <c r="T47" s="2" t="s">
        <v>170</v>
      </c>
      <c r="U47" s="2" t="s">
        <v>157</v>
      </c>
      <c r="V47" s="2">
        <v>1500000</v>
      </c>
      <c r="W47" s="2">
        <v>1280</v>
      </c>
      <c r="X47" s="2">
        <v>32</v>
      </c>
      <c r="Y47" s="2" t="s">
        <v>158</v>
      </c>
      <c r="Z47" s="2">
        <v>9.5000000000000001E-2</v>
      </c>
      <c r="AA47" s="87">
        <v>1.2023999999999999</v>
      </c>
      <c r="AB47" s="63">
        <f t="shared" si="31"/>
        <v>22.2</v>
      </c>
      <c r="AC47" s="87">
        <v>121.0550386</v>
      </c>
      <c r="AD47" s="87">
        <v>2.4528441000000002E-2</v>
      </c>
      <c r="AE47" s="87">
        <v>29.699630299999999</v>
      </c>
      <c r="AF47" s="87">
        <v>87.090698880000005</v>
      </c>
      <c r="AG47" s="87">
        <v>2.6201743240000002</v>
      </c>
      <c r="AH47" s="87">
        <v>3.3927999999999998</v>
      </c>
      <c r="AI47" s="87">
        <v>1131.2217189999999</v>
      </c>
      <c r="AJ47" s="87">
        <v>0.77680000000000005</v>
      </c>
      <c r="AK47" s="87">
        <v>0.33160000000000001</v>
      </c>
      <c r="AL47" s="17">
        <v>120240</v>
      </c>
      <c r="AM47" s="17">
        <v>295.35000000000002</v>
      </c>
      <c r="AN47" s="17">
        <v>1.4182300000000001</v>
      </c>
      <c r="AO47" s="17">
        <v>212612</v>
      </c>
      <c r="AP47" s="17">
        <v>297393</v>
      </c>
      <c r="AQ47" s="17">
        <v>287.05500000000001</v>
      </c>
      <c r="AR47" s="17">
        <v>1.39053</v>
      </c>
      <c r="AS47" s="17">
        <v>1022.1</v>
      </c>
      <c r="AT47" s="17">
        <v>343.30599999999998</v>
      </c>
      <c r="AU47" s="17">
        <v>6791.25</v>
      </c>
      <c r="AV47" s="17">
        <v>0</v>
      </c>
      <c r="AW47" s="17">
        <v>0</v>
      </c>
      <c r="AX47" s="17">
        <v>1508570</v>
      </c>
      <c r="AY47" s="17">
        <v>870.88900000000001</v>
      </c>
      <c r="AZ47" s="17">
        <v>6.0345500000000003</v>
      </c>
      <c r="BA47" s="17">
        <v>651895</v>
      </c>
      <c r="BB47" s="17">
        <v>901884</v>
      </c>
      <c r="BC47" s="17">
        <v>287.05099999999999</v>
      </c>
      <c r="BD47" s="17">
        <v>1.3471</v>
      </c>
      <c r="BE47" s="17">
        <v>1114.05</v>
      </c>
      <c r="BF47" s="17">
        <v>580.28200000000004</v>
      </c>
      <c r="BG47" s="17">
        <v>7201.56</v>
      </c>
      <c r="BH47" s="17">
        <v>265.858</v>
      </c>
      <c r="BI47" s="17">
        <v>0.45815310486970101</v>
      </c>
      <c r="BJ47" s="18">
        <v>8122790</v>
      </c>
      <c r="BK47" s="17">
        <v>1485.67</v>
      </c>
      <c r="BL47" s="17">
        <v>19.047599999999999</v>
      </c>
      <c r="BM47" s="17">
        <v>1197090</v>
      </c>
      <c r="BN47" s="17">
        <v>1623540</v>
      </c>
      <c r="BO47" s="17">
        <v>287.04000000000002</v>
      </c>
      <c r="BP47" s="17">
        <v>1.31125</v>
      </c>
      <c r="BQ47" s="17">
        <v>1209.24</v>
      </c>
      <c r="BR47" s="17">
        <v>746.02700000000004</v>
      </c>
      <c r="BS47" s="17">
        <v>7342.78</v>
      </c>
      <c r="BT47" s="17">
        <v>0</v>
      </c>
      <c r="BU47" s="17">
        <v>0</v>
      </c>
      <c r="BV47" s="18">
        <v>8709070</v>
      </c>
      <c r="BW47" s="17">
        <v>1510.01</v>
      </c>
      <c r="BX47" s="17">
        <v>20.093399999999999</v>
      </c>
      <c r="BY47" s="17">
        <v>1220070</v>
      </c>
      <c r="BZ47" s="17">
        <v>1653500</v>
      </c>
      <c r="CA47" s="17">
        <v>287.03699999999998</v>
      </c>
      <c r="CB47" s="17">
        <v>1.3103899999999999</v>
      </c>
      <c r="CC47" s="17">
        <v>1211.81</v>
      </c>
      <c r="CD47" s="17">
        <v>751.72699999999998</v>
      </c>
      <c r="CE47" s="17">
        <v>7342.78</v>
      </c>
      <c r="CF47" s="17">
        <v>0</v>
      </c>
      <c r="CG47" s="17">
        <v>0</v>
      </c>
      <c r="CH47" s="17">
        <v>4726530</v>
      </c>
      <c r="CI47" s="17">
        <v>1306.9100000000001</v>
      </c>
      <c r="CJ47" s="17">
        <v>12.5991</v>
      </c>
      <c r="CK47" s="17">
        <v>1031640</v>
      </c>
      <c r="CL47" s="17">
        <v>1406790</v>
      </c>
      <c r="CM47" s="17">
        <v>287.048</v>
      </c>
      <c r="CN47" s="17">
        <v>1.31833</v>
      </c>
      <c r="CO47" s="17">
        <v>1188.78</v>
      </c>
      <c r="CP47" s="17">
        <v>702.43600000000004</v>
      </c>
      <c r="CQ47" s="17">
        <v>7342.78</v>
      </c>
      <c r="CR47" s="17">
        <v>702.43499999999995</v>
      </c>
      <c r="CS47" s="17">
        <v>0.99999857638275902</v>
      </c>
      <c r="CT47" s="17">
        <v>2082.39</v>
      </c>
      <c r="CU47" s="17">
        <v>163.31200000000001</v>
      </c>
      <c r="CV47" s="17">
        <v>4.4422000000000003E-2</v>
      </c>
      <c r="CW47" s="17">
        <v>117562</v>
      </c>
      <c r="CX47" s="17">
        <v>164440</v>
      </c>
      <c r="CY47" s="17">
        <v>287.04300000000001</v>
      </c>
      <c r="CZ47" s="17">
        <v>1.3905099999999999</v>
      </c>
      <c r="DA47" s="17">
        <v>1022.09</v>
      </c>
      <c r="DB47" s="17">
        <v>255.28399999999999</v>
      </c>
      <c r="DC47" s="17">
        <v>7342.78</v>
      </c>
      <c r="DD47" s="17">
        <v>1725.72</v>
      </c>
      <c r="DE47" s="17">
        <v>6.76</v>
      </c>
      <c r="DF47" s="19">
        <f t="shared" si="29"/>
        <v>6897338.8635734059</v>
      </c>
      <c r="DG47" s="19">
        <f t="shared" si="30"/>
        <v>1653494.7592</v>
      </c>
      <c r="DI47" s="2">
        <v>280</v>
      </c>
      <c r="DK47" s="2">
        <v>1155</v>
      </c>
      <c r="DL47" s="16">
        <f t="shared" si="16"/>
        <v>1652.4</v>
      </c>
      <c r="DM47" s="16">
        <f t="shared" si="17"/>
        <v>6741.6</v>
      </c>
      <c r="DU47" s="2">
        <v>5.9179945199999997</v>
      </c>
      <c r="DV47" s="2">
        <f t="shared" si="19"/>
        <v>7.7379515156720008E-2</v>
      </c>
      <c r="DW47" s="2">
        <f t="shared" si="20"/>
        <v>207.00410543056003</v>
      </c>
      <c r="DX47" s="2">
        <f t="shared" si="21"/>
        <v>287.41142422595919</v>
      </c>
      <c r="DY47" s="2">
        <f t="shared" si="22"/>
        <v>1700.8992335546216</v>
      </c>
      <c r="DZ47" s="19">
        <f t="shared" si="23"/>
        <v>9619762.300846532</v>
      </c>
      <c r="EA47" s="2">
        <v>5.7739619199999996</v>
      </c>
      <c r="EB47" s="2">
        <f t="shared" si="24"/>
        <v>8.1993215172120007E-2</v>
      </c>
      <c r="EC47" s="2">
        <f t="shared" si="25"/>
        <v>216.12576490784002</v>
      </c>
      <c r="ED47" s="2">
        <f t="shared" si="26"/>
        <v>293.67556913403513</v>
      </c>
      <c r="EE47" s="2">
        <f t="shared" si="27"/>
        <v>1695.671553014246</v>
      </c>
      <c r="EF47" s="19">
        <f t="shared" si="28"/>
        <v>9798735.8390568402</v>
      </c>
    </row>
    <row r="48" spans="1:136">
      <c r="A48" s="1">
        <v>46</v>
      </c>
      <c r="B48" s="2" t="s">
        <v>173</v>
      </c>
      <c r="C48" s="2">
        <v>250123</v>
      </c>
      <c r="D48" s="2" t="s">
        <v>174</v>
      </c>
      <c r="E48" s="2" t="s">
        <v>236</v>
      </c>
      <c r="F48" s="2">
        <v>6.76</v>
      </c>
      <c r="G48" s="2">
        <v>1023.8</v>
      </c>
      <c r="H48" s="2">
        <v>20.6</v>
      </c>
      <c r="I48" s="2">
        <v>22.3</v>
      </c>
      <c r="J48" s="2" t="s">
        <v>151</v>
      </c>
      <c r="K48" s="2">
        <v>217.6</v>
      </c>
      <c r="L48" s="2" t="s">
        <v>237</v>
      </c>
      <c r="M48" s="2" t="s">
        <v>153</v>
      </c>
      <c r="N48" s="2" t="s">
        <v>154</v>
      </c>
      <c r="O48" s="2">
        <v>0.2</v>
      </c>
      <c r="P48" s="2">
        <v>22.4</v>
      </c>
      <c r="Q48" s="2">
        <v>0.62</v>
      </c>
      <c r="R48" s="2">
        <v>2500000</v>
      </c>
      <c r="S48" s="2" t="s">
        <v>155</v>
      </c>
      <c r="T48" s="2" t="s">
        <v>167</v>
      </c>
      <c r="U48" s="2" t="s">
        <v>157</v>
      </c>
      <c r="V48" s="2">
        <v>1500000</v>
      </c>
      <c r="W48" s="2">
        <v>1280</v>
      </c>
      <c r="X48" s="2">
        <v>32</v>
      </c>
      <c r="Y48" s="2" t="s">
        <v>158</v>
      </c>
      <c r="Z48" s="2">
        <v>9.5000000000000001E-2</v>
      </c>
      <c r="AA48" s="87">
        <v>1.2018</v>
      </c>
      <c r="AB48" s="63">
        <f t="shared" si="31"/>
        <v>22.4</v>
      </c>
      <c r="AC48" s="87">
        <v>122.3394692</v>
      </c>
      <c r="AD48" s="87">
        <v>2.2087292000000001E-2</v>
      </c>
      <c r="AE48" s="87">
        <v>29.9636602</v>
      </c>
      <c r="AF48" s="87">
        <v>89.318895560000001</v>
      </c>
      <c r="AG48" s="87">
        <v>2.7802134120000002</v>
      </c>
      <c r="AH48" s="87">
        <v>3.1663999999999999</v>
      </c>
      <c r="AI48" s="87">
        <v>1121.076233</v>
      </c>
      <c r="AJ48" s="87">
        <v>0.7732</v>
      </c>
      <c r="AK48" s="87">
        <v>0.29120000000000001</v>
      </c>
      <c r="AL48" s="17">
        <v>120180</v>
      </c>
      <c r="AM48" s="17">
        <v>295.55</v>
      </c>
      <c r="AN48" s="17">
        <v>1.41656</v>
      </c>
      <c r="AO48" s="17">
        <v>212756</v>
      </c>
      <c r="AP48" s="17">
        <v>297595</v>
      </c>
      <c r="AQ48" s="17">
        <v>287.05500000000001</v>
      </c>
      <c r="AR48" s="17">
        <v>1.39053</v>
      </c>
      <c r="AS48" s="17">
        <v>1022.1</v>
      </c>
      <c r="AT48" s="17">
        <v>343.423</v>
      </c>
      <c r="AU48" s="17">
        <v>6792.1</v>
      </c>
      <c r="AV48" s="17">
        <v>0</v>
      </c>
      <c r="AW48" s="17">
        <v>0</v>
      </c>
      <c r="AX48" s="17">
        <v>1479170</v>
      </c>
      <c r="AY48" s="17">
        <v>860.94100000000003</v>
      </c>
      <c r="AZ48" s="17">
        <v>5.9853300000000003</v>
      </c>
      <c r="BA48" s="17">
        <v>643668</v>
      </c>
      <c r="BB48" s="17">
        <v>890801</v>
      </c>
      <c r="BC48" s="17">
        <v>287.05</v>
      </c>
      <c r="BD48" s="17">
        <v>1.3479699999999999</v>
      </c>
      <c r="BE48" s="17">
        <v>1111.97</v>
      </c>
      <c r="BF48" s="17">
        <v>577.14700000000005</v>
      </c>
      <c r="BG48" s="17">
        <v>7194.43</v>
      </c>
      <c r="BH48" s="17">
        <v>265.32799999999997</v>
      </c>
      <c r="BI48" s="17">
        <v>0.45972343267832999</v>
      </c>
      <c r="BJ48" s="18">
        <v>7909040</v>
      </c>
      <c r="BK48" s="17">
        <v>1465.61</v>
      </c>
      <c r="BL48" s="17">
        <v>18.8002</v>
      </c>
      <c r="BM48" s="17">
        <v>1178250</v>
      </c>
      <c r="BN48" s="17">
        <v>1598940</v>
      </c>
      <c r="BO48" s="17">
        <v>287.041</v>
      </c>
      <c r="BP48" s="17">
        <v>1.3119700000000001</v>
      </c>
      <c r="BQ48" s="17">
        <v>1207.1400000000001</v>
      </c>
      <c r="BR48" s="17">
        <v>741.28700000000003</v>
      </c>
      <c r="BS48" s="17">
        <v>7333.76</v>
      </c>
      <c r="BT48" s="17">
        <v>0</v>
      </c>
      <c r="BU48" s="17">
        <v>0</v>
      </c>
      <c r="BV48" s="18">
        <v>8931890</v>
      </c>
      <c r="BW48" s="17">
        <v>1507.86</v>
      </c>
      <c r="BX48" s="17">
        <v>20.637</v>
      </c>
      <c r="BY48" s="17">
        <v>1218030</v>
      </c>
      <c r="BZ48" s="17">
        <v>1650840</v>
      </c>
      <c r="CA48" s="17">
        <v>287.036</v>
      </c>
      <c r="CB48" s="17">
        <v>1.31046</v>
      </c>
      <c r="CC48" s="17">
        <v>1211.58</v>
      </c>
      <c r="CD48" s="17">
        <v>751.226</v>
      </c>
      <c r="CE48" s="17">
        <v>7333.76</v>
      </c>
      <c r="CF48" s="17">
        <v>0</v>
      </c>
      <c r="CG48" s="17">
        <v>0</v>
      </c>
      <c r="CH48" s="17">
        <v>4847260</v>
      </c>
      <c r="CI48" s="17">
        <v>1304.98</v>
      </c>
      <c r="CJ48" s="17">
        <v>12.940099999999999</v>
      </c>
      <c r="CK48" s="17">
        <v>1029890</v>
      </c>
      <c r="CL48" s="17">
        <v>1404480</v>
      </c>
      <c r="CM48" s="17">
        <v>287.048</v>
      </c>
      <c r="CN48" s="17">
        <v>1.3184100000000001</v>
      </c>
      <c r="CO48" s="17">
        <v>1188.54</v>
      </c>
      <c r="CP48" s="17">
        <v>701.947</v>
      </c>
      <c r="CQ48" s="17">
        <v>7333.76</v>
      </c>
      <c r="CR48" s="17">
        <v>701.94600000000003</v>
      </c>
      <c r="CS48" s="17">
        <v>0.99999857539101999</v>
      </c>
      <c r="CT48" s="17">
        <v>2135.67</v>
      </c>
      <c r="CU48" s="17">
        <v>163.03399999999999</v>
      </c>
      <c r="CV48" s="17">
        <v>4.56359E-2</v>
      </c>
      <c r="CW48" s="17">
        <v>117362</v>
      </c>
      <c r="CX48" s="17">
        <v>164160</v>
      </c>
      <c r="CY48" s="17">
        <v>287.04399999999998</v>
      </c>
      <c r="CZ48" s="17">
        <v>1.3905099999999999</v>
      </c>
      <c r="DA48" s="17">
        <v>1022.09</v>
      </c>
      <c r="DB48" s="17">
        <v>255.06700000000001</v>
      </c>
      <c r="DC48" s="17">
        <v>7333.77</v>
      </c>
      <c r="DD48" s="17">
        <v>1724.35</v>
      </c>
      <c r="DE48" s="17">
        <v>6.7603499999999999</v>
      </c>
      <c r="DF48" s="88">
        <f t="shared" si="29"/>
        <v>7091117.4380574618</v>
      </c>
      <c r="DG48" s="19">
        <f t="shared" si="30"/>
        <v>1650851.4612499999</v>
      </c>
      <c r="DI48" s="2">
        <v>283</v>
      </c>
      <c r="DK48" s="2">
        <v>1309</v>
      </c>
      <c r="DL48" s="16">
        <f t="shared" si="16"/>
        <v>1745.8000000000002</v>
      </c>
      <c r="DM48" s="16">
        <f t="shared" si="17"/>
        <v>6495.4</v>
      </c>
      <c r="DU48" s="2">
        <v>5.9179945199999997</v>
      </c>
      <c r="DV48" s="2">
        <f t="shared" si="19"/>
        <v>7.949403033948399E-2</v>
      </c>
      <c r="DW48" s="2">
        <f t="shared" si="20"/>
        <v>206.65172996941999</v>
      </c>
      <c r="DX48" s="2">
        <f t="shared" si="21"/>
        <v>287.16711483305943</v>
      </c>
      <c r="DY48" s="2">
        <f t="shared" si="22"/>
        <v>1699.4534119062564</v>
      </c>
      <c r="DZ48" s="19">
        <f t="shared" si="23"/>
        <v>9888533.7326683961</v>
      </c>
      <c r="EA48" s="2">
        <v>5.7739619199999996</v>
      </c>
      <c r="EB48" s="2">
        <f t="shared" si="24"/>
        <v>8.4233806858613994E-2</v>
      </c>
      <c r="EC48" s="2">
        <f t="shared" si="25"/>
        <v>215.75786198188001</v>
      </c>
      <c r="ED48" s="2">
        <f t="shared" si="26"/>
        <v>293.42593500693715</v>
      </c>
      <c r="EE48" s="2">
        <f t="shared" si="27"/>
        <v>1694.2301750704501</v>
      </c>
      <c r="EF48" s="19">
        <f t="shared" si="28"/>
        <v>10072340.634866497</v>
      </c>
    </row>
    <row r="49" spans="1:136">
      <c r="A49" s="68">
        <v>47</v>
      </c>
      <c r="B49" s="2" t="s">
        <v>173</v>
      </c>
      <c r="C49" s="2">
        <v>250123</v>
      </c>
      <c r="D49" s="2" t="s">
        <v>174</v>
      </c>
      <c r="E49" s="2" t="s">
        <v>236</v>
      </c>
      <c r="F49" s="2">
        <v>6.76</v>
      </c>
      <c r="G49" s="2">
        <v>1023.9</v>
      </c>
      <c r="H49" s="2">
        <v>20.8</v>
      </c>
      <c r="I49" s="2">
        <v>20.8</v>
      </c>
      <c r="J49" s="2" t="s">
        <v>151</v>
      </c>
      <c r="K49" s="2">
        <v>208.7</v>
      </c>
      <c r="L49" s="2" t="s">
        <v>238</v>
      </c>
      <c r="M49" s="2" t="s">
        <v>153</v>
      </c>
      <c r="N49" s="2" t="s">
        <v>154</v>
      </c>
      <c r="O49" s="2">
        <v>0.2</v>
      </c>
      <c r="P49" s="2">
        <v>22.9</v>
      </c>
      <c r="Q49" s="2">
        <v>0.56999999999999995</v>
      </c>
      <c r="R49" s="2">
        <v>2500000</v>
      </c>
      <c r="S49" s="2" t="s">
        <v>155</v>
      </c>
      <c r="T49" s="2" t="s">
        <v>170</v>
      </c>
      <c r="U49" s="2" t="s">
        <v>157</v>
      </c>
      <c r="V49" s="2">
        <v>1500000</v>
      </c>
      <c r="W49" s="2">
        <v>1280</v>
      </c>
      <c r="X49" s="2">
        <v>32</v>
      </c>
      <c r="Y49" s="2" t="s">
        <v>158</v>
      </c>
      <c r="Z49" s="2">
        <v>9.5000000000000001E-2</v>
      </c>
      <c r="AA49" s="87">
        <v>1.2019</v>
      </c>
      <c r="AB49" s="2">
        <f t="shared" si="31"/>
        <v>22.9</v>
      </c>
      <c r="AC49" s="87">
        <v>122.66034059421099</v>
      </c>
      <c r="AD49" s="87">
        <v>2.2007205177042601E-2</v>
      </c>
      <c r="AE49" s="87">
        <v>30.605666498861499</v>
      </c>
      <c r="AF49" s="87">
        <v>88.2098697766356</v>
      </c>
      <c r="AG49" s="87">
        <v>3.3101876199285201</v>
      </c>
      <c r="AH49" s="87">
        <v>3.5768</v>
      </c>
      <c r="AI49" s="87">
        <v>1146.78899082569</v>
      </c>
      <c r="AJ49" s="87">
        <v>0.75160000000000005</v>
      </c>
      <c r="AK49" s="87">
        <v>0.33119999999999999</v>
      </c>
      <c r="AL49" s="17">
        <v>120190</v>
      </c>
      <c r="AM49" s="17">
        <v>296.05</v>
      </c>
      <c r="AN49" s="17">
        <v>1.41429</v>
      </c>
      <c r="AO49" s="17">
        <v>213115</v>
      </c>
      <c r="AP49" s="17">
        <v>298098</v>
      </c>
      <c r="AQ49" s="17">
        <v>287.05500000000001</v>
      </c>
      <c r="AR49" s="17">
        <v>1.39053</v>
      </c>
      <c r="AS49" s="17">
        <v>1022.1</v>
      </c>
      <c r="AT49" s="17">
        <v>343.71300000000002</v>
      </c>
      <c r="AU49" s="17">
        <v>6793.82</v>
      </c>
      <c r="AV49" s="17">
        <v>0</v>
      </c>
      <c r="AW49" s="17">
        <v>0</v>
      </c>
      <c r="AX49" s="17">
        <v>1547190</v>
      </c>
      <c r="AY49" s="17">
        <v>887.13699999999994</v>
      </c>
      <c r="AZ49" s="17">
        <v>6.0756699999999997</v>
      </c>
      <c r="BA49" s="17">
        <v>665376</v>
      </c>
      <c r="BB49" s="17">
        <v>920030</v>
      </c>
      <c r="BC49" s="17">
        <v>287.05200000000002</v>
      </c>
      <c r="BD49" s="17">
        <v>1.3456699999999999</v>
      </c>
      <c r="BE49" s="17">
        <v>1117.47</v>
      </c>
      <c r="BF49" s="17">
        <v>585.35500000000002</v>
      </c>
      <c r="BG49" s="17">
        <v>7214.93</v>
      </c>
      <c r="BH49" s="17">
        <v>266.94799999999998</v>
      </c>
      <c r="BI49" s="17">
        <v>0.45604462249404198</v>
      </c>
      <c r="BJ49" s="17">
        <v>8409470</v>
      </c>
      <c r="BK49" s="17">
        <v>1517.27</v>
      </c>
      <c r="BL49" s="17">
        <v>19.3093</v>
      </c>
      <c r="BM49" s="17">
        <v>1226940</v>
      </c>
      <c r="BN49" s="17">
        <v>1662460</v>
      </c>
      <c r="BO49" s="17">
        <v>287.03800000000001</v>
      </c>
      <c r="BP49" s="17">
        <v>1.31013</v>
      </c>
      <c r="BQ49" s="17">
        <v>1212.58</v>
      </c>
      <c r="BR49" s="17">
        <v>753.41499999999996</v>
      </c>
      <c r="BS49" s="17">
        <v>7358.75</v>
      </c>
      <c r="BT49" s="17">
        <v>0</v>
      </c>
      <c r="BU49" s="17">
        <v>0</v>
      </c>
      <c r="BV49" s="17">
        <v>8820980</v>
      </c>
      <c r="BW49" s="17">
        <v>1534.18</v>
      </c>
      <c r="BX49" s="17">
        <v>20.031099999999999</v>
      </c>
      <c r="BY49" s="17">
        <v>1243010</v>
      </c>
      <c r="BZ49" s="17">
        <v>1683370</v>
      </c>
      <c r="CA49" s="17">
        <v>287.03500000000003</v>
      </c>
      <c r="CB49" s="17">
        <v>1.3095300000000001</v>
      </c>
      <c r="CC49" s="17">
        <v>1214.3800000000001</v>
      </c>
      <c r="CD49" s="17">
        <v>757.32899999999995</v>
      </c>
      <c r="CE49" s="17">
        <v>7358.75</v>
      </c>
      <c r="CF49" s="17">
        <v>0</v>
      </c>
      <c r="CG49" s="17">
        <v>0</v>
      </c>
      <c r="CH49" s="17">
        <v>4789110</v>
      </c>
      <c r="CI49" s="17">
        <v>1328.62</v>
      </c>
      <c r="CJ49" s="17">
        <v>12.557399999999999</v>
      </c>
      <c r="CK49" s="17">
        <v>1051430</v>
      </c>
      <c r="CL49" s="17">
        <v>1432810</v>
      </c>
      <c r="CM49" s="17">
        <v>287.048</v>
      </c>
      <c r="CN49" s="17">
        <v>1.3173900000000001</v>
      </c>
      <c r="CO49" s="17">
        <v>1191.45</v>
      </c>
      <c r="CP49" s="17">
        <v>707.90200000000004</v>
      </c>
      <c r="CQ49" s="17">
        <v>7358.75</v>
      </c>
      <c r="CR49" s="17">
        <v>707.90099999999995</v>
      </c>
      <c r="CS49" s="17">
        <v>0.99999858737508796</v>
      </c>
      <c r="CT49" s="17">
        <v>2101.7399999999998</v>
      </c>
      <c r="CU49" s="17">
        <v>166.279</v>
      </c>
      <c r="CV49" s="17">
        <v>4.4034499999999997E-2</v>
      </c>
      <c r="CW49" s="17">
        <v>119698</v>
      </c>
      <c r="CX49" s="17">
        <v>167428</v>
      </c>
      <c r="CY49" s="17">
        <v>287.04300000000001</v>
      </c>
      <c r="CZ49" s="17">
        <v>1.3905099999999999</v>
      </c>
      <c r="DA49" s="17">
        <v>1022.09</v>
      </c>
      <c r="DB49" s="17">
        <v>257.59300000000002</v>
      </c>
      <c r="DC49" s="17">
        <v>7358.75</v>
      </c>
      <c r="DD49" s="17">
        <v>1741.23</v>
      </c>
      <c r="DE49" s="17">
        <v>6.75962</v>
      </c>
      <c r="DF49" s="19">
        <f t="shared" si="29"/>
        <v>6787432.8541740375</v>
      </c>
      <c r="DG49" s="19">
        <f t="shared" si="30"/>
        <v>1683368.9564499999</v>
      </c>
      <c r="DI49" s="2">
        <v>284</v>
      </c>
      <c r="DK49" s="2">
        <v>639</v>
      </c>
      <c r="DL49" s="16">
        <f t="shared" si="16"/>
        <v>1135.8</v>
      </c>
      <c r="DM49" s="16">
        <f t="shared" si="17"/>
        <v>6501</v>
      </c>
      <c r="DU49" s="2">
        <v>5.9179945199999997</v>
      </c>
      <c r="DV49" s="2">
        <f t="shared" si="19"/>
        <v>7.6704521637219997E-2</v>
      </c>
      <c r="DW49" s="2">
        <f t="shared" si="20"/>
        <v>210.76488957877001</v>
      </c>
      <c r="DX49" s="2">
        <f t="shared" si="21"/>
        <v>290.01101126838154</v>
      </c>
      <c r="DY49" s="2">
        <f t="shared" si="22"/>
        <v>1716.2835754259402</v>
      </c>
      <c r="DZ49" s="19">
        <f t="shared" si="23"/>
        <v>9476473.0054483823</v>
      </c>
      <c r="EA49" s="2">
        <v>5.7739619199999996</v>
      </c>
      <c r="EB49" s="2">
        <f t="shared" si="24"/>
        <v>8.1277975631369986E-2</v>
      </c>
      <c r="EC49" s="2">
        <f t="shared" si="25"/>
        <v>220.05226843778001</v>
      </c>
      <c r="ED49" s="2">
        <f t="shared" si="26"/>
        <v>296.33181429287976</v>
      </c>
      <c r="EE49" s="2">
        <f t="shared" si="27"/>
        <v>1711.0086114115993</v>
      </c>
      <c r="EF49" s="19">
        <f t="shared" si="28"/>
        <v>9654467.6014107801</v>
      </c>
    </row>
    <row r="50" spans="1:136">
      <c r="A50" s="1">
        <v>48</v>
      </c>
      <c r="B50" s="2" t="s">
        <v>173</v>
      </c>
      <c r="C50" s="2">
        <v>250123</v>
      </c>
      <c r="D50" s="2" t="s">
        <v>174</v>
      </c>
      <c r="E50" s="2" t="s">
        <v>230</v>
      </c>
      <c r="F50" s="2">
        <v>6.76</v>
      </c>
      <c r="G50" s="2">
        <v>1024.0999999999999</v>
      </c>
      <c r="H50" s="2">
        <v>20.6</v>
      </c>
      <c r="I50" s="2">
        <v>22.6</v>
      </c>
      <c r="J50" s="2" t="s">
        <v>151</v>
      </c>
      <c r="K50" s="2">
        <v>228.3</v>
      </c>
      <c r="L50" s="2" t="s">
        <v>239</v>
      </c>
      <c r="M50" s="2" t="s">
        <v>153</v>
      </c>
      <c r="N50" s="2" t="s">
        <v>154</v>
      </c>
      <c r="O50" s="2">
        <v>-0.1</v>
      </c>
      <c r="P50" s="2">
        <v>21.5</v>
      </c>
      <c r="Q50" s="2">
        <v>0.62</v>
      </c>
      <c r="R50" s="2">
        <v>2500000</v>
      </c>
      <c r="S50" s="2" t="s">
        <v>155</v>
      </c>
      <c r="T50" s="2" t="s">
        <v>167</v>
      </c>
      <c r="U50" s="2" t="s">
        <v>157</v>
      </c>
      <c r="V50" s="2">
        <v>1500000</v>
      </c>
      <c r="W50" s="2">
        <v>1280</v>
      </c>
      <c r="X50" s="2">
        <v>32</v>
      </c>
      <c r="Y50" s="2" t="s">
        <v>158</v>
      </c>
      <c r="Z50" s="2">
        <v>9.5000000000000001E-2</v>
      </c>
      <c r="AA50" s="87">
        <v>0.90210000000000001</v>
      </c>
      <c r="AB50" s="63">
        <f t="shared" si="31"/>
        <v>21.5</v>
      </c>
      <c r="AC50" s="87">
        <v>89.045674649999995</v>
      </c>
      <c r="AD50" s="87">
        <v>2.983709E-2</v>
      </c>
      <c r="AE50" s="87">
        <v>31.108920749999999</v>
      </c>
      <c r="AF50" s="87">
        <v>56.39258925</v>
      </c>
      <c r="AG50" s="87">
        <v>1.7100526570000001</v>
      </c>
      <c r="AH50" s="87">
        <v>2.5691999999999999</v>
      </c>
      <c r="AI50" s="87">
        <v>1064.7359449999999</v>
      </c>
      <c r="AJ50" s="87">
        <v>0.83599999999999997</v>
      </c>
      <c r="AK50" s="87">
        <v>0.33119999999999999</v>
      </c>
      <c r="AL50" s="17">
        <v>90210</v>
      </c>
      <c r="AM50" s="17">
        <v>294.64999999999998</v>
      </c>
      <c r="AN50" s="17">
        <v>1.0665500000000001</v>
      </c>
      <c r="AO50" s="17">
        <v>212108</v>
      </c>
      <c r="AP50" s="17">
        <v>296689</v>
      </c>
      <c r="AQ50" s="17">
        <v>287.05599999999998</v>
      </c>
      <c r="AR50" s="17">
        <v>1.39053</v>
      </c>
      <c r="AS50" s="17">
        <v>1022.1</v>
      </c>
      <c r="AT50" s="17">
        <v>342.9</v>
      </c>
      <c r="AU50" s="17">
        <v>6871.21</v>
      </c>
      <c r="AV50" s="17">
        <v>0</v>
      </c>
      <c r="AW50" s="17">
        <v>0</v>
      </c>
      <c r="AX50" s="17">
        <v>1001780</v>
      </c>
      <c r="AY50" s="17">
        <v>805.21900000000005</v>
      </c>
      <c r="AZ50" s="17">
        <v>4.3340899999999998</v>
      </c>
      <c r="BA50" s="17">
        <v>598056</v>
      </c>
      <c r="BB50" s="17">
        <v>829194</v>
      </c>
      <c r="BC50" s="17">
        <v>287.05099999999999</v>
      </c>
      <c r="BD50" s="17">
        <v>1.3532</v>
      </c>
      <c r="BE50" s="17">
        <v>1099.75</v>
      </c>
      <c r="BF50" s="17">
        <v>559.26099999999997</v>
      </c>
      <c r="BG50" s="17">
        <v>7232.31</v>
      </c>
      <c r="BH50" s="17">
        <v>262.01400000000001</v>
      </c>
      <c r="BI50" s="17">
        <v>0.46850039605837002</v>
      </c>
      <c r="BJ50" s="18">
        <v>5152360</v>
      </c>
      <c r="BK50" s="17">
        <v>1355.11</v>
      </c>
      <c r="BL50" s="17">
        <v>13.245799999999999</v>
      </c>
      <c r="BM50" s="17">
        <v>1075720</v>
      </c>
      <c r="BN50" s="17">
        <v>1464700</v>
      </c>
      <c r="BO50" s="17">
        <v>287.04700000000003</v>
      </c>
      <c r="BP50" s="17">
        <v>1.3162499999999999</v>
      </c>
      <c r="BQ50" s="17">
        <v>1194.72</v>
      </c>
      <c r="BR50" s="17">
        <v>714.49599999999998</v>
      </c>
      <c r="BS50" s="17">
        <v>7361.53</v>
      </c>
      <c r="BT50" s="17">
        <v>0</v>
      </c>
      <c r="BU50" s="17">
        <v>0</v>
      </c>
      <c r="BV50" s="18">
        <v>5639250</v>
      </c>
      <c r="BW50" s="17">
        <v>1384.43</v>
      </c>
      <c r="BX50" s="17">
        <v>14.1905</v>
      </c>
      <c r="BY50" s="17">
        <v>1102780</v>
      </c>
      <c r="BZ50" s="17">
        <v>1500180</v>
      </c>
      <c r="CA50" s="17">
        <v>287.04599999999999</v>
      </c>
      <c r="CB50" s="17">
        <v>1.31498</v>
      </c>
      <c r="CC50" s="17">
        <v>1198.3699999999999</v>
      </c>
      <c r="CD50" s="17">
        <v>721.70500000000004</v>
      </c>
      <c r="CE50" s="17">
        <v>7361.53</v>
      </c>
      <c r="CF50" s="17">
        <v>0</v>
      </c>
      <c r="CG50" s="17">
        <v>0</v>
      </c>
      <c r="CH50" s="17">
        <v>3053110</v>
      </c>
      <c r="CI50" s="17">
        <v>1194.71</v>
      </c>
      <c r="CJ50" s="17">
        <v>8.9027600000000007</v>
      </c>
      <c r="CK50" s="17">
        <v>930534</v>
      </c>
      <c r="CL50" s="17">
        <v>1273470</v>
      </c>
      <c r="CM50" s="17">
        <v>287.04899999999998</v>
      </c>
      <c r="CN50" s="17">
        <v>1.3239099999999999</v>
      </c>
      <c r="CO50" s="17">
        <v>1173.26</v>
      </c>
      <c r="CP50" s="17">
        <v>673.36099999999999</v>
      </c>
      <c r="CQ50" s="17">
        <v>7361.53</v>
      </c>
      <c r="CR50" s="17">
        <v>673.36</v>
      </c>
      <c r="CS50" s="17">
        <v>0.99999851491250602</v>
      </c>
      <c r="CT50" s="17">
        <v>1380.69</v>
      </c>
      <c r="CU50" s="17">
        <v>148.15299999999999</v>
      </c>
      <c r="CV50" s="17">
        <v>3.24693E-2</v>
      </c>
      <c r="CW50" s="17">
        <v>106650</v>
      </c>
      <c r="CX50" s="17">
        <v>149173</v>
      </c>
      <c r="CY50" s="17">
        <v>287.02100000000002</v>
      </c>
      <c r="CZ50" s="17">
        <v>1.3904799999999999</v>
      </c>
      <c r="DA50" s="17">
        <v>1022.06</v>
      </c>
      <c r="DB50" s="17">
        <v>243.14699999999999</v>
      </c>
      <c r="DC50" s="17">
        <v>7361.53</v>
      </c>
      <c r="DD50" s="17">
        <v>1643.78</v>
      </c>
      <c r="DE50" s="17">
        <v>6.7604300000000004</v>
      </c>
      <c r="DF50" s="89">
        <f t="shared" si="29"/>
        <v>5250523.9777676314</v>
      </c>
      <c r="DG50" s="19">
        <f t="shared" si="30"/>
        <v>1500179.3441999999</v>
      </c>
      <c r="DI50" s="2">
        <v>287</v>
      </c>
      <c r="DK50" s="2">
        <v>2391</v>
      </c>
      <c r="DL50" s="16">
        <f t="shared" si="16"/>
        <v>2887.8</v>
      </c>
      <c r="DM50" s="16">
        <f t="shared" si="17"/>
        <v>6741.6</v>
      </c>
      <c r="DU50" s="2">
        <v>5.9179945199999997</v>
      </c>
      <c r="DV50" s="2">
        <f t="shared" si="19"/>
        <v>5.6558882794067997E-2</v>
      </c>
      <c r="DW50" s="2">
        <f t="shared" si="20"/>
        <v>187.78950249739</v>
      </c>
      <c r="DX50" s="2">
        <f t="shared" si="21"/>
        <v>273.74698596962327</v>
      </c>
      <c r="DY50" s="2">
        <f t="shared" si="22"/>
        <v>1620.0331628347474</v>
      </c>
      <c r="DZ50" s="19">
        <f t="shared" si="23"/>
        <v>7282467.545603808</v>
      </c>
      <c r="EA50" s="2">
        <v>5.7739619199999996</v>
      </c>
      <c r="EB50" s="2">
        <f t="shared" si="24"/>
        <v>5.9931167020577998E-2</v>
      </c>
      <c r="EC50" s="2">
        <f t="shared" si="25"/>
        <v>196.06446830845999</v>
      </c>
      <c r="ED50" s="2">
        <f t="shared" si="26"/>
        <v>279.71331383178438</v>
      </c>
      <c r="EE50" s="2">
        <f t="shared" si="27"/>
        <v>1615.0540225817322</v>
      </c>
      <c r="EF50" s="19">
        <f t="shared" si="28"/>
        <v>7410823.5427106721</v>
      </c>
    </row>
    <row r="51" spans="1:136">
      <c r="A51" s="1">
        <v>49</v>
      </c>
      <c r="B51" s="2" t="s">
        <v>173</v>
      </c>
      <c r="C51" s="2">
        <v>250123</v>
      </c>
      <c r="D51" s="2" t="s">
        <v>174</v>
      </c>
      <c r="E51" s="2" t="s">
        <v>230</v>
      </c>
      <c r="F51" s="2">
        <v>6.76</v>
      </c>
      <c r="G51" s="2">
        <v>1024.5</v>
      </c>
      <c r="H51" s="2">
        <v>20.6</v>
      </c>
      <c r="I51" s="2">
        <v>22.8</v>
      </c>
      <c r="J51" s="2" t="s">
        <v>151</v>
      </c>
      <c r="K51" s="2">
        <v>162.69999999999999</v>
      </c>
      <c r="L51" s="2" t="s">
        <v>240</v>
      </c>
      <c r="M51" s="2" t="s">
        <v>153</v>
      </c>
      <c r="N51" s="2" t="s">
        <v>154</v>
      </c>
      <c r="O51" s="2">
        <v>-0.6</v>
      </c>
      <c r="P51" s="2">
        <v>21.6</v>
      </c>
      <c r="Q51" s="2">
        <v>0.56000000000000005</v>
      </c>
      <c r="R51" s="2">
        <v>2500000</v>
      </c>
      <c r="S51" s="2" t="s">
        <v>155</v>
      </c>
      <c r="T51" s="2" t="s">
        <v>167</v>
      </c>
      <c r="U51" s="2" t="s">
        <v>157</v>
      </c>
      <c r="V51" s="2">
        <v>1500000</v>
      </c>
      <c r="W51" s="2">
        <v>1280</v>
      </c>
      <c r="X51" s="2">
        <v>32</v>
      </c>
      <c r="Y51" s="2" t="s">
        <v>158</v>
      </c>
      <c r="Z51" s="2">
        <v>9.5000000000000001E-2</v>
      </c>
      <c r="AA51" s="17">
        <v>0.40250000000000002</v>
      </c>
      <c r="AB51" s="63">
        <f t="shared" si="31"/>
        <v>21.6</v>
      </c>
      <c r="AC51" s="17">
        <v>33.261005142933797</v>
      </c>
      <c r="AD51" s="17">
        <v>3.0984107536292601E-2</v>
      </c>
      <c r="AE51" s="17">
        <v>30.2841344263237</v>
      </c>
      <c r="AF51" s="17">
        <v>23.073625946373799</v>
      </c>
      <c r="AG51" s="17">
        <v>0.74005849952426095</v>
      </c>
      <c r="AH51" s="17">
        <v>2.194</v>
      </c>
      <c r="AI51" s="17">
        <v>1015.43460601137</v>
      </c>
      <c r="AJ51" s="17">
        <v>1.0087999999999999</v>
      </c>
      <c r="AK51" s="17">
        <v>0.36919999999999997</v>
      </c>
      <c r="AL51" s="17">
        <v>40250</v>
      </c>
      <c r="AM51" s="17">
        <v>294.75</v>
      </c>
      <c r="AN51" s="17">
        <v>0.475719</v>
      </c>
      <c r="AO51" s="17">
        <v>212180</v>
      </c>
      <c r="AP51" s="17">
        <v>296788</v>
      </c>
      <c r="AQ51" s="17">
        <v>287.053</v>
      </c>
      <c r="AR51" s="17">
        <v>1.39052</v>
      </c>
      <c r="AS51" s="17">
        <v>1022.1</v>
      </c>
      <c r="AT51" s="17">
        <v>342.95800000000003</v>
      </c>
      <c r="AU51" s="17">
        <v>7103.26</v>
      </c>
      <c r="AV51" s="17">
        <v>0</v>
      </c>
      <c r="AW51" s="17">
        <v>0</v>
      </c>
      <c r="AX51" s="17">
        <v>405357</v>
      </c>
      <c r="AY51" s="17">
        <v>758.93100000000004</v>
      </c>
      <c r="AZ51" s="17">
        <v>1.8606799999999999</v>
      </c>
      <c r="BA51" s="17">
        <v>560788</v>
      </c>
      <c r="BB51" s="17">
        <v>778642</v>
      </c>
      <c r="BC51" s="17">
        <v>287.05399999999997</v>
      </c>
      <c r="BD51" s="17">
        <v>1.3581099999999999</v>
      </c>
      <c r="BE51" s="17">
        <v>1088.6400000000001</v>
      </c>
      <c r="BF51" s="17">
        <v>543.97299999999996</v>
      </c>
      <c r="BG51" s="17">
        <v>7427.2</v>
      </c>
      <c r="BH51" s="17">
        <v>259.61599999999999</v>
      </c>
      <c r="BI51" s="17">
        <v>0.47725898160386598</v>
      </c>
      <c r="BJ51" s="18">
        <v>2006040</v>
      </c>
      <c r="BK51" s="17">
        <v>1262.04</v>
      </c>
      <c r="BL51" s="17">
        <v>5.5373700000000001</v>
      </c>
      <c r="BM51" s="17">
        <v>991038</v>
      </c>
      <c r="BN51" s="17">
        <v>1353310</v>
      </c>
      <c r="BO51" s="17">
        <v>287.05399999999997</v>
      </c>
      <c r="BP51" s="17">
        <v>1.32029</v>
      </c>
      <c r="BQ51" s="17">
        <v>1183.29</v>
      </c>
      <c r="BR51" s="17">
        <v>690.95699999999999</v>
      </c>
      <c r="BS51" s="17">
        <v>7547.17</v>
      </c>
      <c r="BT51" s="17">
        <v>0</v>
      </c>
      <c r="BU51" s="17">
        <v>0</v>
      </c>
      <c r="BV51" s="18">
        <v>2307360</v>
      </c>
      <c r="BW51" s="17">
        <v>1305.3499999999999</v>
      </c>
      <c r="BX51" s="17">
        <v>6.1578799999999996</v>
      </c>
      <c r="BY51" s="17">
        <v>1030210</v>
      </c>
      <c r="BZ51" s="17">
        <v>1404910</v>
      </c>
      <c r="CA51" s="17">
        <v>287.05</v>
      </c>
      <c r="CB51" s="17">
        <v>1.3184</v>
      </c>
      <c r="CC51" s="17">
        <v>1188.58</v>
      </c>
      <c r="CD51" s="17">
        <v>702.05399999999997</v>
      </c>
      <c r="CE51" s="17">
        <v>7547.17</v>
      </c>
      <c r="CF51" s="17">
        <v>0</v>
      </c>
      <c r="CG51" s="17">
        <v>0</v>
      </c>
      <c r="CH51" s="17">
        <v>1247710</v>
      </c>
      <c r="CI51" s="17">
        <v>1124.17</v>
      </c>
      <c r="CJ51" s="17">
        <v>3.86653</v>
      </c>
      <c r="CK51" s="17">
        <v>868185</v>
      </c>
      <c r="CL51" s="17">
        <v>1190880</v>
      </c>
      <c r="CM51" s="17">
        <v>287.053</v>
      </c>
      <c r="CN51" s="17">
        <v>1.3277300000000001</v>
      </c>
      <c r="CO51" s="17">
        <v>1162.92</v>
      </c>
      <c r="CP51" s="17">
        <v>654.26300000000003</v>
      </c>
      <c r="CQ51" s="17">
        <v>7547.17</v>
      </c>
      <c r="CR51" s="17">
        <v>654.26199999999994</v>
      </c>
      <c r="CS51" s="17">
        <v>0.99999847156265897</v>
      </c>
      <c r="CT51" s="17">
        <v>559.351</v>
      </c>
      <c r="CU51" s="17">
        <v>138.751</v>
      </c>
      <c r="CV51" s="17">
        <v>1.40415E-2</v>
      </c>
      <c r="CW51" s="17">
        <v>99881.4</v>
      </c>
      <c r="CX51" s="17">
        <v>139717</v>
      </c>
      <c r="CY51" s="17">
        <v>287.10199999999998</v>
      </c>
      <c r="CZ51" s="17">
        <v>1.39059</v>
      </c>
      <c r="DA51" s="17">
        <v>1022.15</v>
      </c>
      <c r="DB51" s="17">
        <v>235.30600000000001</v>
      </c>
      <c r="DC51" s="17">
        <v>7547.17</v>
      </c>
      <c r="DD51" s="17">
        <v>1590.72</v>
      </c>
      <c r="DE51" s="17">
        <v>6.7602200000000003</v>
      </c>
      <c r="DF51" s="90">
        <f t="shared" si="29"/>
        <v>2336446.0723482836</v>
      </c>
      <c r="DG51" s="19">
        <f t="shared" si="30"/>
        <v>1404912.0592</v>
      </c>
      <c r="DI51" s="2">
        <v>288</v>
      </c>
      <c r="DK51" s="2">
        <v>1211</v>
      </c>
      <c r="DL51" s="16">
        <f t="shared" si="16"/>
        <v>1764.8</v>
      </c>
      <c r="DM51" s="16">
        <f t="shared" si="17"/>
        <v>5055.7999999999993</v>
      </c>
      <c r="DU51" s="2">
        <v>5.9179945199999997</v>
      </c>
      <c r="DV51" s="2">
        <f t="shared" si="19"/>
        <v>2.4459152268539997E-2</v>
      </c>
      <c r="DW51" s="2">
        <f t="shared" si="20"/>
        <v>175.87211370013003</v>
      </c>
      <c r="DX51" s="2">
        <f t="shared" si="21"/>
        <v>264.91919818286129</v>
      </c>
      <c r="DY51" s="2">
        <f t="shared" si="22"/>
        <v>1567.7903630889671</v>
      </c>
      <c r="DZ51" s="19">
        <f t="shared" si="23"/>
        <v>3228625.797997064</v>
      </c>
      <c r="EA51" s="2">
        <v>5.7739619199999996</v>
      </c>
      <c r="EB51" s="2">
        <f t="shared" si="24"/>
        <v>2.5917512287590001E-2</v>
      </c>
      <c r="EC51" s="2">
        <f t="shared" si="25"/>
        <v>183.62193841682003</v>
      </c>
      <c r="ED51" s="2">
        <f t="shared" si="26"/>
        <v>270.69312401346451</v>
      </c>
      <c r="EE51" s="2">
        <f t="shared" si="27"/>
        <v>1562.9717900595815</v>
      </c>
      <c r="EF51" s="19">
        <f t="shared" si="28"/>
        <v>3283357.3029505429</v>
      </c>
    </row>
    <row r="52" spans="1:136" s="74" customFormat="1">
      <c r="A52" s="73">
        <v>50</v>
      </c>
      <c r="B52" s="74" t="s">
        <v>173</v>
      </c>
      <c r="C52" s="74">
        <v>250124</v>
      </c>
      <c r="D52" s="74" t="s">
        <v>174</v>
      </c>
      <c r="E52" s="74" t="s">
        <v>230</v>
      </c>
      <c r="F52" s="74">
        <v>6.76</v>
      </c>
      <c r="G52" s="74">
        <v>1027</v>
      </c>
      <c r="H52" s="74">
        <v>19.399999999999999</v>
      </c>
      <c r="I52" s="74">
        <v>23.2</v>
      </c>
      <c r="J52" s="74" t="s">
        <v>151</v>
      </c>
      <c r="K52" s="74">
        <v>247.1</v>
      </c>
      <c r="L52" s="74" t="s">
        <v>241</v>
      </c>
      <c r="M52" s="74" t="s">
        <v>153</v>
      </c>
      <c r="N52" s="74" t="s">
        <v>154</v>
      </c>
      <c r="O52" s="74">
        <v>0.2</v>
      </c>
      <c r="P52" s="74">
        <v>21.8</v>
      </c>
      <c r="Q52" s="74">
        <v>0.64</v>
      </c>
      <c r="R52" s="74">
        <v>2500000</v>
      </c>
      <c r="S52" s="74" t="s">
        <v>155</v>
      </c>
      <c r="T52" s="74" t="s">
        <v>228</v>
      </c>
      <c r="U52" s="74" t="s">
        <v>157</v>
      </c>
      <c r="V52" s="74">
        <v>1500000</v>
      </c>
      <c r="W52" s="74">
        <v>1280</v>
      </c>
      <c r="X52" s="74">
        <v>32</v>
      </c>
      <c r="Y52" s="74" t="s">
        <v>158</v>
      </c>
      <c r="Z52" s="74">
        <v>9.5000000000000001E-2</v>
      </c>
      <c r="AA52" s="91">
        <v>1.2050000000000001</v>
      </c>
      <c r="AB52" s="76">
        <f t="shared" si="31"/>
        <v>21.8</v>
      </c>
      <c r="AC52" s="91">
        <v>121.19063420000001</v>
      </c>
      <c r="AD52" s="91">
        <v>5.3183373999999999E-2</v>
      </c>
      <c r="AE52" s="91">
        <v>29.235863080000001</v>
      </c>
      <c r="AF52" s="91">
        <v>89.975498220000006</v>
      </c>
      <c r="AG52" s="91">
        <v>2.7102664889999999</v>
      </c>
      <c r="AH52" s="91">
        <v>3.1648000000000001</v>
      </c>
      <c r="AI52" s="91">
        <v>1118.0679789999999</v>
      </c>
      <c r="AJ52" s="91">
        <v>0.77559999999999996</v>
      </c>
      <c r="AK52" s="91">
        <v>0.35160000000000002</v>
      </c>
      <c r="AL52" s="77">
        <v>120500</v>
      </c>
      <c r="AM52" s="77">
        <v>294.95</v>
      </c>
      <c r="AN52" s="77">
        <v>1.4232199999999999</v>
      </c>
      <c r="AO52" s="77">
        <v>212324</v>
      </c>
      <c r="AP52" s="77">
        <v>296991</v>
      </c>
      <c r="AQ52" s="77">
        <v>287.05500000000001</v>
      </c>
      <c r="AR52" s="77">
        <v>1.39053</v>
      </c>
      <c r="AS52" s="77">
        <v>1022.1</v>
      </c>
      <c r="AT52" s="77">
        <v>343.07400000000001</v>
      </c>
      <c r="AU52" s="77">
        <v>6789.24</v>
      </c>
      <c r="AV52" s="77">
        <v>0</v>
      </c>
      <c r="AW52" s="77">
        <v>0</v>
      </c>
      <c r="AX52" s="77">
        <v>1477950</v>
      </c>
      <c r="AY52" s="77">
        <v>857.45</v>
      </c>
      <c r="AZ52" s="77">
        <v>6.0047499999999996</v>
      </c>
      <c r="BA52" s="77">
        <v>640785</v>
      </c>
      <c r="BB52" s="77">
        <v>886916</v>
      </c>
      <c r="BC52" s="77">
        <v>287.05</v>
      </c>
      <c r="BD52" s="77">
        <v>1.3482799999999999</v>
      </c>
      <c r="BE52" s="77">
        <v>1111.24</v>
      </c>
      <c r="BF52" s="77">
        <v>576.04200000000003</v>
      </c>
      <c r="BG52" s="77">
        <v>7190.16</v>
      </c>
      <c r="BH52" s="77">
        <v>265.00099999999998</v>
      </c>
      <c r="BI52" s="77">
        <v>0.46003763614458698</v>
      </c>
      <c r="BJ52" s="77">
        <v>7891640</v>
      </c>
      <c r="BK52" s="77">
        <v>1459.26</v>
      </c>
      <c r="BL52" s="77">
        <v>18.840399999999999</v>
      </c>
      <c r="BM52" s="77">
        <v>1172310</v>
      </c>
      <c r="BN52" s="77">
        <v>1591180</v>
      </c>
      <c r="BO52" s="77">
        <v>287.04199999999997</v>
      </c>
      <c r="BP52" s="77">
        <v>1.31219</v>
      </c>
      <c r="BQ52" s="77">
        <v>1206.47</v>
      </c>
      <c r="BR52" s="77">
        <v>739.77800000000002</v>
      </c>
      <c r="BS52" s="77">
        <v>7329.09</v>
      </c>
      <c r="BT52" s="77">
        <v>0</v>
      </c>
      <c r="BU52" s="77">
        <v>0</v>
      </c>
      <c r="BV52" s="77">
        <v>8997550</v>
      </c>
      <c r="BW52" s="77">
        <v>1504.71</v>
      </c>
      <c r="BX52" s="77">
        <v>20.832100000000001</v>
      </c>
      <c r="BY52" s="77">
        <v>1215060</v>
      </c>
      <c r="BZ52" s="77">
        <v>1646970</v>
      </c>
      <c r="CA52" s="77">
        <v>287.036</v>
      </c>
      <c r="CB52" s="77">
        <v>1.31057</v>
      </c>
      <c r="CC52" s="77">
        <v>1211.25</v>
      </c>
      <c r="CD52" s="77">
        <v>750.49199999999996</v>
      </c>
      <c r="CE52" s="77">
        <v>7329.09</v>
      </c>
      <c r="CF52" s="77">
        <v>0</v>
      </c>
      <c r="CG52" s="77">
        <v>0</v>
      </c>
      <c r="CH52" s="77">
        <v>4882640</v>
      </c>
      <c r="CI52" s="77">
        <v>1302.1600000000001</v>
      </c>
      <c r="CJ52" s="77">
        <v>13.062799999999999</v>
      </c>
      <c r="CK52" s="77">
        <v>1027320</v>
      </c>
      <c r="CL52" s="77">
        <v>1401110</v>
      </c>
      <c r="CM52" s="77">
        <v>287.048</v>
      </c>
      <c r="CN52" s="77">
        <v>1.31854</v>
      </c>
      <c r="CO52" s="77">
        <v>1188.19</v>
      </c>
      <c r="CP52" s="77">
        <v>701.23199999999997</v>
      </c>
      <c r="CQ52" s="77">
        <v>7329.09</v>
      </c>
      <c r="CR52" s="77">
        <v>701.23099999999999</v>
      </c>
      <c r="CS52" s="77">
        <v>0.99999857393844005</v>
      </c>
      <c r="CT52" s="77">
        <v>2153.42</v>
      </c>
      <c r="CU52" s="77">
        <v>162.672</v>
      </c>
      <c r="CV52" s="77">
        <v>4.6117600000000002E-2</v>
      </c>
      <c r="CW52" s="77">
        <v>117102</v>
      </c>
      <c r="CX52" s="77">
        <v>163796</v>
      </c>
      <c r="CY52" s="77">
        <v>287.04399999999998</v>
      </c>
      <c r="CZ52" s="77">
        <v>1.3905099999999999</v>
      </c>
      <c r="DA52" s="77">
        <v>1022.09</v>
      </c>
      <c r="DB52" s="77">
        <v>254.78399999999999</v>
      </c>
      <c r="DC52" s="77">
        <v>7329.09</v>
      </c>
      <c r="DD52" s="77">
        <v>1722.31</v>
      </c>
      <c r="DE52" s="77">
        <v>6.7598700000000003</v>
      </c>
      <c r="DF52" s="78">
        <f t="shared" si="29"/>
        <v>7171906.8580458183</v>
      </c>
      <c r="DG52" s="78">
        <f t="shared" si="30"/>
        <v>1646971.8680499999</v>
      </c>
      <c r="DH52" s="79" t="s">
        <v>242</v>
      </c>
      <c r="DI52" s="74">
        <v>291</v>
      </c>
      <c r="DK52" s="74">
        <v>822</v>
      </c>
      <c r="DL52" s="80">
        <f t="shared" si="16"/>
        <v>1349.4</v>
      </c>
      <c r="DM52" s="80">
        <f t="shared" si="17"/>
        <v>6096.6</v>
      </c>
      <c r="DU52" s="74">
        <v>5.9179945199999997</v>
      </c>
      <c r="DV52" s="74">
        <f t="shared" si="19"/>
        <v>8.0333112606175996E-2</v>
      </c>
      <c r="DW52" s="74">
        <f t="shared" si="20"/>
        <v>206.19288134736001</v>
      </c>
      <c r="DX52" s="74">
        <f t="shared" si="21"/>
        <v>286.84849935752646</v>
      </c>
      <c r="DY52" s="74">
        <f t="shared" si="22"/>
        <v>1697.567847268065</v>
      </c>
      <c r="DZ52" s="78">
        <f t="shared" si="23"/>
        <v>10000693.767507492</v>
      </c>
      <c r="EA52" s="74">
        <v>5.7739619199999996</v>
      </c>
      <c r="EB52" s="74">
        <f t="shared" si="24"/>
        <v>8.5122918824496005E-2</v>
      </c>
      <c r="EC52" s="74">
        <f t="shared" si="25"/>
        <v>215.27879414304002</v>
      </c>
      <c r="ED52" s="74">
        <f t="shared" si="26"/>
        <v>293.10037529279549</v>
      </c>
      <c r="EE52" s="74">
        <f t="shared" si="27"/>
        <v>1692.3504056783099</v>
      </c>
      <c r="EF52" s="78">
        <f t="shared" si="28"/>
        <v>10186364.90707561</v>
      </c>
    </row>
    <row r="53" spans="1:136">
      <c r="A53" s="1">
        <v>51</v>
      </c>
      <c r="B53" s="2" t="s">
        <v>173</v>
      </c>
      <c r="C53" s="2">
        <v>250124</v>
      </c>
      <c r="D53" s="2" t="s">
        <v>174</v>
      </c>
      <c r="E53" s="2" t="s">
        <v>230</v>
      </c>
      <c r="F53" s="2">
        <v>6.76</v>
      </c>
      <c r="G53" s="2">
        <v>1024.8</v>
      </c>
      <c r="H53" s="2">
        <v>20.8</v>
      </c>
      <c r="I53" s="2">
        <v>21.6</v>
      </c>
      <c r="J53" s="2" t="s">
        <v>151</v>
      </c>
      <c r="K53" s="2">
        <v>197.1</v>
      </c>
      <c r="L53" s="2" t="s">
        <v>239</v>
      </c>
      <c r="M53" s="2" t="s">
        <v>153</v>
      </c>
      <c r="N53" s="2" t="s">
        <v>154</v>
      </c>
      <c r="O53" s="2">
        <v>-0.1</v>
      </c>
      <c r="P53" s="2">
        <v>21.9</v>
      </c>
      <c r="Q53" s="2">
        <v>0.59</v>
      </c>
      <c r="R53" s="2">
        <v>2500000</v>
      </c>
      <c r="S53" s="2" t="s">
        <v>155</v>
      </c>
      <c r="T53" s="2" t="s">
        <v>228</v>
      </c>
      <c r="U53" s="2" t="s">
        <v>157</v>
      </c>
      <c r="V53" s="2">
        <v>1500000</v>
      </c>
      <c r="W53" s="2">
        <v>1280</v>
      </c>
      <c r="X53" s="2">
        <v>32</v>
      </c>
      <c r="Y53" s="2" t="s">
        <v>158</v>
      </c>
      <c r="Z53" s="2">
        <v>9.5000000000000001E-2</v>
      </c>
      <c r="AA53" s="87">
        <v>0.90280000000000005</v>
      </c>
      <c r="AB53" s="63">
        <f t="shared" si="31"/>
        <v>21.9</v>
      </c>
      <c r="AC53" s="87">
        <v>87.742381170000002</v>
      </c>
      <c r="AD53" s="87">
        <v>4.3932367E-2</v>
      </c>
      <c r="AE53" s="87">
        <v>30.83354443</v>
      </c>
      <c r="AF53" s="87">
        <v>52.458006330000003</v>
      </c>
      <c r="AG53" s="87">
        <v>1.5901764519999999</v>
      </c>
      <c r="AH53" s="87">
        <v>2.5908000000000002</v>
      </c>
      <c r="AI53" s="87">
        <v>1025.430681</v>
      </c>
      <c r="AJ53" s="87">
        <v>0.86560000000000004</v>
      </c>
      <c r="AK53" s="87">
        <v>0.37119999999999997</v>
      </c>
      <c r="AL53" s="17">
        <v>90280</v>
      </c>
      <c r="AM53" s="17">
        <v>295.05</v>
      </c>
      <c r="AN53" s="17">
        <v>1.06593</v>
      </c>
      <c r="AO53" s="17">
        <v>212396</v>
      </c>
      <c r="AP53" s="17">
        <v>297091</v>
      </c>
      <c r="AQ53" s="17">
        <v>287.05599999999998</v>
      </c>
      <c r="AR53" s="17">
        <v>1.39053</v>
      </c>
      <c r="AS53" s="17">
        <v>1022.1</v>
      </c>
      <c r="AT53" s="17">
        <v>343.13200000000001</v>
      </c>
      <c r="AU53" s="17">
        <v>6872.39</v>
      </c>
      <c r="AV53" s="17">
        <v>0</v>
      </c>
      <c r="AW53" s="17">
        <v>0</v>
      </c>
      <c r="AX53" s="17">
        <v>926744</v>
      </c>
      <c r="AY53" s="17">
        <v>768.447</v>
      </c>
      <c r="AZ53" s="17">
        <v>4.2013199999999999</v>
      </c>
      <c r="BA53" s="17">
        <v>568418</v>
      </c>
      <c r="BB53" s="17">
        <v>789002</v>
      </c>
      <c r="BC53" s="17">
        <v>287.05200000000002</v>
      </c>
      <c r="BD53" s="17">
        <v>1.3570899999999999</v>
      </c>
      <c r="BE53" s="17">
        <v>1090.92</v>
      </c>
      <c r="BF53" s="17">
        <v>547.16200000000003</v>
      </c>
      <c r="BG53" s="17">
        <v>7203.42</v>
      </c>
      <c r="BH53" s="17">
        <v>260.16500000000002</v>
      </c>
      <c r="BI53" s="17">
        <v>0.47548075341489399</v>
      </c>
      <c r="BJ53" s="18">
        <v>4621900</v>
      </c>
      <c r="BK53" s="17">
        <v>1280.9000000000001</v>
      </c>
      <c r="BL53" s="17">
        <v>12.570399999999999</v>
      </c>
      <c r="BM53" s="17">
        <v>1008060</v>
      </c>
      <c r="BN53" s="17">
        <v>1375740</v>
      </c>
      <c r="BO53" s="17">
        <v>287.04899999999998</v>
      </c>
      <c r="BP53" s="17">
        <v>1.3194600000000001</v>
      </c>
      <c r="BQ53" s="17">
        <v>1185.5999999999999</v>
      </c>
      <c r="BR53" s="17">
        <v>695.81399999999996</v>
      </c>
      <c r="BS53" s="17">
        <v>7325.21</v>
      </c>
      <c r="BT53" s="17">
        <v>0</v>
      </c>
      <c r="BU53" s="17">
        <v>0</v>
      </c>
      <c r="BV53" s="18">
        <v>5245800</v>
      </c>
      <c r="BW53" s="17">
        <v>1320.48</v>
      </c>
      <c r="BX53" s="17">
        <v>13.839700000000001</v>
      </c>
      <c r="BY53" s="17">
        <v>1044000</v>
      </c>
      <c r="BZ53" s="17">
        <v>1423040</v>
      </c>
      <c r="CA53" s="17">
        <v>287.04700000000003</v>
      </c>
      <c r="CB53" s="17">
        <v>1.3177399999999999</v>
      </c>
      <c r="CC53" s="17">
        <v>1190.44</v>
      </c>
      <c r="CD53" s="17">
        <v>705.85799999999995</v>
      </c>
      <c r="CE53" s="17">
        <v>7325.21</v>
      </c>
      <c r="CF53" s="17">
        <v>0</v>
      </c>
      <c r="CG53" s="17">
        <v>0</v>
      </c>
      <c r="CH53" s="17">
        <v>2837440</v>
      </c>
      <c r="CI53" s="17">
        <v>1137.6400000000001</v>
      </c>
      <c r="CJ53" s="17">
        <v>8.6888299999999994</v>
      </c>
      <c r="CK53" s="17">
        <v>880017</v>
      </c>
      <c r="CL53" s="17">
        <v>1206580</v>
      </c>
      <c r="CM53" s="17">
        <v>287.05</v>
      </c>
      <c r="CN53" s="17">
        <v>1.327</v>
      </c>
      <c r="CO53" s="17">
        <v>1164.8800000000001</v>
      </c>
      <c r="CP53" s="17">
        <v>657.96699999999998</v>
      </c>
      <c r="CQ53" s="17">
        <v>7325.21</v>
      </c>
      <c r="CR53" s="17">
        <v>657.96699999999998</v>
      </c>
      <c r="CS53" s="17">
        <v>1</v>
      </c>
      <c r="CT53" s="17">
        <v>1296.3499999999999</v>
      </c>
      <c r="CU53" s="17">
        <v>140.54400000000001</v>
      </c>
      <c r="CV53" s="17">
        <v>3.2136600000000001E-2</v>
      </c>
      <c r="CW53" s="17">
        <v>101172</v>
      </c>
      <c r="CX53" s="17">
        <v>141511</v>
      </c>
      <c r="CY53" s="17">
        <v>287.02</v>
      </c>
      <c r="CZ53" s="17">
        <v>1.3904799999999999</v>
      </c>
      <c r="DA53" s="17">
        <v>1022.06</v>
      </c>
      <c r="DB53" s="17">
        <v>236.821</v>
      </c>
      <c r="DC53" s="17">
        <v>7325.21</v>
      </c>
      <c r="DD53" s="17">
        <v>1600.95</v>
      </c>
      <c r="DE53" s="17">
        <v>6.7601899999999997</v>
      </c>
      <c r="DF53" s="89">
        <f t="shared" si="29"/>
        <v>5317024.4381133383</v>
      </c>
      <c r="DG53" s="19">
        <f t="shared" si="30"/>
        <v>1423031.4512500002</v>
      </c>
      <c r="DI53" s="2">
        <v>293</v>
      </c>
      <c r="DK53" s="2">
        <v>1282</v>
      </c>
      <c r="DL53" s="16">
        <f t="shared" si="16"/>
        <v>1838.8</v>
      </c>
      <c r="DM53" s="16">
        <f t="shared" si="17"/>
        <v>5725</v>
      </c>
      <c r="DU53" s="2">
        <v>5.9179945199999997</v>
      </c>
      <c r="DV53" s="2">
        <f t="shared" si="19"/>
        <v>5.5979346422615997E-2</v>
      </c>
      <c r="DW53" s="2">
        <f t="shared" si="20"/>
        <v>178.14480867072004</v>
      </c>
      <c r="DX53" s="2">
        <f t="shared" si="21"/>
        <v>266.62486053421242</v>
      </c>
      <c r="DY53" s="2">
        <f t="shared" si="22"/>
        <v>1577.8844635372334</v>
      </c>
      <c r="DZ53" s="19">
        <f t="shared" si="23"/>
        <v>7352823.295021167</v>
      </c>
      <c r="EA53" s="2">
        <v>5.7739619199999996</v>
      </c>
      <c r="EB53" s="2">
        <f t="shared" si="24"/>
        <v>5.9317076194235999E-2</v>
      </c>
      <c r="EC53" s="2">
        <f t="shared" si="25"/>
        <v>185.99477995008002</v>
      </c>
      <c r="ED53" s="2">
        <f t="shared" si="26"/>
        <v>272.43596135242058</v>
      </c>
      <c r="EE53" s="2">
        <f t="shared" si="27"/>
        <v>1573.034866487468</v>
      </c>
      <c r="EF53" s="19">
        <f t="shared" si="28"/>
        <v>7478443.7298555961</v>
      </c>
    </row>
    <row r="54" spans="1:136">
      <c r="A54" s="1">
        <v>52</v>
      </c>
      <c r="B54" s="2" t="s">
        <v>173</v>
      </c>
      <c r="C54" s="2">
        <v>250124</v>
      </c>
      <c r="D54" s="2" t="s">
        <v>174</v>
      </c>
      <c r="E54" s="2" t="s">
        <v>230</v>
      </c>
      <c r="F54" s="2">
        <v>6.76</v>
      </c>
      <c r="G54" s="2">
        <v>1024.5999999999999</v>
      </c>
      <c r="H54" s="2">
        <v>21.4</v>
      </c>
      <c r="I54" s="2">
        <v>20</v>
      </c>
      <c r="J54" s="2" t="s">
        <v>151</v>
      </c>
      <c r="K54" s="2">
        <v>166.8</v>
      </c>
      <c r="L54" s="2" t="s">
        <v>227</v>
      </c>
      <c r="M54" s="2" t="s">
        <v>153</v>
      </c>
      <c r="N54" s="2" t="s">
        <v>154</v>
      </c>
      <c r="O54" s="2">
        <v>-0.4</v>
      </c>
      <c r="P54" s="2">
        <v>22.1</v>
      </c>
      <c r="Q54" s="2">
        <v>0.56999999999999995</v>
      </c>
      <c r="R54" s="2">
        <v>2500000</v>
      </c>
      <c r="S54" s="2" t="s">
        <v>155</v>
      </c>
      <c r="T54" s="2" t="s">
        <v>228</v>
      </c>
      <c r="U54" s="2" t="s">
        <v>157</v>
      </c>
      <c r="V54" s="2">
        <v>1500000</v>
      </c>
      <c r="W54" s="2">
        <v>1280</v>
      </c>
      <c r="X54" s="2">
        <v>32</v>
      </c>
      <c r="Y54" s="2" t="s">
        <v>158</v>
      </c>
      <c r="Z54" s="2">
        <v>9.5000000000000001E-2</v>
      </c>
      <c r="AA54" s="87">
        <v>0.60260000000000002</v>
      </c>
      <c r="AB54" s="63">
        <f t="shared" si="31"/>
        <v>22.1</v>
      </c>
      <c r="AC54" s="87">
        <v>58.247511719999999</v>
      </c>
      <c r="AD54" s="87">
        <v>5.2638767000000003E-2</v>
      </c>
      <c r="AE54" s="87">
        <v>33.806164129999999</v>
      </c>
      <c r="AF54" s="87">
        <v>33.750146469999997</v>
      </c>
      <c r="AG54" s="87">
        <v>1.0401120429999999</v>
      </c>
      <c r="AH54" s="87">
        <v>2.2444000000000002</v>
      </c>
      <c r="AI54" s="87">
        <v>1095.5302369999999</v>
      </c>
      <c r="AJ54" s="87">
        <v>0.90159999999999996</v>
      </c>
      <c r="AK54" s="87">
        <v>0.6</v>
      </c>
      <c r="AL54" s="17">
        <v>60260</v>
      </c>
      <c r="AM54" s="17">
        <v>295.25</v>
      </c>
      <c r="AN54" s="17">
        <v>0.71101499999999995</v>
      </c>
      <c r="AO54" s="17">
        <v>212540</v>
      </c>
      <c r="AP54" s="17">
        <v>297292</v>
      </c>
      <c r="AQ54" s="17">
        <v>287.05200000000002</v>
      </c>
      <c r="AR54" s="17">
        <v>1.39052</v>
      </c>
      <c r="AS54" s="17">
        <v>1022.1</v>
      </c>
      <c r="AT54" s="17">
        <v>343.24900000000002</v>
      </c>
      <c r="AU54" s="17">
        <v>6989.21</v>
      </c>
      <c r="AV54" s="17">
        <v>0</v>
      </c>
      <c r="AW54" s="17">
        <v>0</v>
      </c>
      <c r="AX54" s="17">
        <v>708101</v>
      </c>
      <c r="AY54" s="17">
        <v>835.53</v>
      </c>
      <c r="AZ54" s="17">
        <v>2.9523899999999998</v>
      </c>
      <c r="BA54" s="17">
        <v>622741</v>
      </c>
      <c r="BB54" s="17">
        <v>862581</v>
      </c>
      <c r="BC54" s="17">
        <v>287.05099999999999</v>
      </c>
      <c r="BD54" s="17">
        <v>1.35022</v>
      </c>
      <c r="BE54" s="17">
        <v>1106.68</v>
      </c>
      <c r="BF54" s="17">
        <v>569.03700000000003</v>
      </c>
      <c r="BG54" s="17">
        <v>7372.68</v>
      </c>
      <c r="BH54" s="17">
        <v>263.83300000000003</v>
      </c>
      <c r="BI54" s="17">
        <v>0.463648233770388</v>
      </c>
      <c r="BJ54" s="18">
        <v>3721200</v>
      </c>
      <c r="BK54" s="17">
        <v>1415.04</v>
      </c>
      <c r="BL54" s="17">
        <v>9.1613100000000003</v>
      </c>
      <c r="BM54" s="17">
        <v>1131120</v>
      </c>
      <c r="BN54" s="17">
        <v>1537310</v>
      </c>
      <c r="BO54" s="17">
        <v>287.05</v>
      </c>
      <c r="BP54" s="17">
        <v>1.3137799999999999</v>
      </c>
      <c r="BQ54" s="17">
        <v>1201.8800000000001</v>
      </c>
      <c r="BR54" s="17">
        <v>729.16200000000003</v>
      </c>
      <c r="BS54" s="17">
        <v>7507.4</v>
      </c>
      <c r="BT54" s="17">
        <v>0</v>
      </c>
      <c r="BU54" s="17">
        <v>0</v>
      </c>
      <c r="BV54" s="18">
        <v>3375010</v>
      </c>
      <c r="BW54" s="17">
        <v>1382.75</v>
      </c>
      <c r="BX54" s="17">
        <v>8.5030099999999997</v>
      </c>
      <c r="BY54" s="17">
        <v>1101220</v>
      </c>
      <c r="BZ54" s="17">
        <v>1498140</v>
      </c>
      <c r="CA54" s="17">
        <v>287.05099999999999</v>
      </c>
      <c r="CB54" s="17">
        <v>1.3150599999999999</v>
      </c>
      <c r="CC54" s="17">
        <v>1198.1600000000001</v>
      </c>
      <c r="CD54" s="17">
        <v>721.29300000000001</v>
      </c>
      <c r="CE54" s="17">
        <v>7507.41</v>
      </c>
      <c r="CF54" s="17">
        <v>0</v>
      </c>
      <c r="CG54" s="17">
        <v>0</v>
      </c>
      <c r="CH54" s="17">
        <v>1827360</v>
      </c>
      <c r="CI54" s="17">
        <v>1193.2</v>
      </c>
      <c r="CJ54" s="17">
        <v>5.3351100000000002</v>
      </c>
      <c r="CK54" s="17">
        <v>929185</v>
      </c>
      <c r="CL54" s="17">
        <v>1271700</v>
      </c>
      <c r="CM54" s="17">
        <v>287.05599999999998</v>
      </c>
      <c r="CN54" s="17">
        <v>1.3240000000000001</v>
      </c>
      <c r="CO54" s="17">
        <v>1173.04</v>
      </c>
      <c r="CP54" s="17">
        <v>672.95899999999995</v>
      </c>
      <c r="CQ54" s="17">
        <v>7507.41</v>
      </c>
      <c r="CR54" s="17">
        <v>672.95799999999997</v>
      </c>
      <c r="CS54" s="17">
        <v>0.99999851402537199</v>
      </c>
      <c r="CT54" s="17">
        <v>814.07500000000005</v>
      </c>
      <c r="CU54" s="17">
        <v>147.97</v>
      </c>
      <c r="CV54" s="17">
        <v>1.9163199999999998E-2</v>
      </c>
      <c r="CW54" s="17">
        <v>106518</v>
      </c>
      <c r="CX54" s="17">
        <v>148999</v>
      </c>
      <c r="CY54" s="17">
        <v>287.09399999999999</v>
      </c>
      <c r="CZ54" s="17">
        <v>1.3905799999999999</v>
      </c>
      <c r="DA54" s="17">
        <v>1022.14</v>
      </c>
      <c r="DB54" s="17">
        <v>242.99700000000001</v>
      </c>
      <c r="DC54" s="17">
        <v>7507.41</v>
      </c>
      <c r="DD54" s="17">
        <v>1642.64</v>
      </c>
      <c r="DE54" s="17">
        <v>6.7599200000000002</v>
      </c>
      <c r="DF54" s="84">
        <f t="shared" si="29"/>
        <v>3100236.5719428589</v>
      </c>
      <c r="DG54" s="19">
        <f t="shared" si="30"/>
        <v>1498132.0848000001</v>
      </c>
      <c r="DL54" s="16">
        <f t="shared" si="16"/>
        <v>899.99999999999989</v>
      </c>
      <c r="DM54" s="16">
        <f t="shared" si="17"/>
        <v>4266.6000000000004</v>
      </c>
      <c r="DT54" s="2" t="s">
        <v>243</v>
      </c>
      <c r="DU54" s="2">
        <v>5.9179945199999997</v>
      </c>
      <c r="DV54" s="2">
        <f t="shared" si="19"/>
        <v>3.3380737581631993E-2</v>
      </c>
      <c r="DW54" s="2">
        <f t="shared" si="20"/>
        <v>187.55754311110002</v>
      </c>
      <c r="DX54" s="2">
        <f t="shared" si="21"/>
        <v>273.57810850909345</v>
      </c>
      <c r="DY54" s="2">
        <f t="shared" si="22"/>
        <v>1619.0337469487804</v>
      </c>
      <c r="DZ54" s="19">
        <f t="shared" si="23"/>
        <v>4300050.3225262063</v>
      </c>
      <c r="EA54" s="2">
        <v>5.7739619199999996</v>
      </c>
      <c r="EB54" s="2">
        <f t="shared" si="24"/>
        <v>3.5371040947871996E-2</v>
      </c>
      <c r="EC54" s="2">
        <f t="shared" si="25"/>
        <v>195.82228760540002</v>
      </c>
      <c r="ED54" s="2">
        <f t="shared" si="26"/>
        <v>279.54075567941248</v>
      </c>
      <c r="EE54" s="2">
        <f t="shared" si="27"/>
        <v>1614.0576783809513</v>
      </c>
      <c r="EF54" s="19">
        <f t="shared" si="28"/>
        <v>4375786.035142622</v>
      </c>
    </row>
    <row r="55" spans="1:136" s="3" customFormat="1">
      <c r="A55" s="85">
        <v>53</v>
      </c>
      <c r="B55" s="3" t="s">
        <v>173</v>
      </c>
      <c r="C55" s="3">
        <v>250124</v>
      </c>
      <c r="D55" s="3" t="s">
        <v>174</v>
      </c>
      <c r="E55" s="3" t="s">
        <v>230</v>
      </c>
      <c r="F55" s="3">
        <v>6.76</v>
      </c>
      <c r="G55" s="3">
        <v>1024.3</v>
      </c>
      <c r="H55" s="3">
        <v>20.399999999999999</v>
      </c>
      <c r="I55" s="3">
        <v>17.3</v>
      </c>
      <c r="J55" s="3" t="s">
        <v>151</v>
      </c>
      <c r="K55" s="3">
        <v>141.9</v>
      </c>
      <c r="L55" s="3" t="s">
        <v>227</v>
      </c>
      <c r="M55" s="3" t="s">
        <v>153</v>
      </c>
      <c r="N55" s="3" t="s">
        <v>154</v>
      </c>
      <c r="O55" s="3">
        <v>-0.4</v>
      </c>
      <c r="P55" s="3">
        <v>23</v>
      </c>
      <c r="Q55" s="3">
        <v>0.59</v>
      </c>
      <c r="R55" s="3">
        <v>2500000</v>
      </c>
      <c r="S55" s="3" t="s">
        <v>155</v>
      </c>
      <c r="T55" s="3" t="s">
        <v>228</v>
      </c>
      <c r="U55" s="3" t="s">
        <v>157</v>
      </c>
      <c r="V55" s="3">
        <v>1500000</v>
      </c>
      <c r="W55" s="3">
        <v>1280</v>
      </c>
      <c r="X55" s="3">
        <v>32</v>
      </c>
      <c r="Y55" s="3" t="s">
        <v>158</v>
      </c>
      <c r="Z55" s="3">
        <v>9.5000000000000001E-2</v>
      </c>
      <c r="AA55" s="18">
        <v>0.60229999999999995</v>
      </c>
      <c r="AB55" s="63">
        <f t="shared" si="31"/>
        <v>23</v>
      </c>
      <c r="AC55" s="18">
        <v>56.714540322833003</v>
      </c>
      <c r="AD55" s="18">
        <v>4.8269730817149602E-2</v>
      </c>
      <c r="AE55" s="18">
        <v>34.159125745533103</v>
      </c>
      <c r="AF55" s="18">
        <v>36.770992075300001</v>
      </c>
      <c r="AG55" s="18">
        <v>1.13012595656823</v>
      </c>
      <c r="AH55" s="18">
        <v>2.2452000000000001</v>
      </c>
      <c r="AI55" s="18">
        <v>1064.73594548552</v>
      </c>
      <c r="AJ55" s="18">
        <v>0.91080000000000005</v>
      </c>
      <c r="AK55" s="18">
        <v>0.41039999999999999</v>
      </c>
      <c r="AL55" s="18">
        <v>60230</v>
      </c>
      <c r="AM55" s="18">
        <v>296.14999999999998</v>
      </c>
      <c r="AN55" s="18">
        <v>0.70850100000000005</v>
      </c>
      <c r="AO55" s="18">
        <v>213187</v>
      </c>
      <c r="AP55" s="18">
        <v>298198</v>
      </c>
      <c r="AQ55" s="18">
        <v>287.05200000000002</v>
      </c>
      <c r="AR55" s="18">
        <v>1.39052</v>
      </c>
      <c r="AS55" s="18">
        <v>1022.1</v>
      </c>
      <c r="AT55" s="18">
        <v>343.77199999999999</v>
      </c>
      <c r="AU55" s="18">
        <v>6992.5</v>
      </c>
      <c r="AV55" s="18">
        <v>0</v>
      </c>
      <c r="AW55" s="18">
        <v>0</v>
      </c>
      <c r="AX55" s="18">
        <v>665459</v>
      </c>
      <c r="AY55" s="18">
        <v>806.49400000000003</v>
      </c>
      <c r="AZ55" s="18">
        <v>2.8744900000000002</v>
      </c>
      <c r="BA55" s="18">
        <v>599088</v>
      </c>
      <c r="BB55" s="18">
        <v>830593</v>
      </c>
      <c r="BC55" s="18">
        <v>287.05099999999999</v>
      </c>
      <c r="BD55" s="18">
        <v>1.35307</v>
      </c>
      <c r="BE55" s="18">
        <v>1100.06</v>
      </c>
      <c r="BF55" s="18">
        <v>559.67399999999998</v>
      </c>
      <c r="BG55" s="18">
        <v>7351.47</v>
      </c>
      <c r="BH55" s="18">
        <v>262.435</v>
      </c>
      <c r="BI55" s="18">
        <v>0.468906899373564</v>
      </c>
      <c r="BJ55" s="18">
        <v>3416550</v>
      </c>
      <c r="BK55" s="18">
        <v>1356.06</v>
      </c>
      <c r="BL55" s="18">
        <v>8.7771000000000008</v>
      </c>
      <c r="BM55" s="18">
        <v>1076590</v>
      </c>
      <c r="BN55" s="18">
        <v>1465850</v>
      </c>
      <c r="BO55" s="18">
        <v>287.05</v>
      </c>
      <c r="BP55" s="18">
        <v>1.3162100000000001</v>
      </c>
      <c r="BQ55" s="18">
        <v>1194.8399999999999</v>
      </c>
      <c r="BR55" s="18">
        <v>714.73199999999997</v>
      </c>
      <c r="BS55" s="18">
        <v>7480.3</v>
      </c>
      <c r="BT55" s="18">
        <v>0</v>
      </c>
      <c r="BU55" s="18">
        <v>0</v>
      </c>
      <c r="BV55" s="18">
        <v>3677100</v>
      </c>
      <c r="BW55" s="18">
        <v>1379.89</v>
      </c>
      <c r="BX55" s="18">
        <v>9.2833000000000006</v>
      </c>
      <c r="BY55" s="18">
        <v>1098570</v>
      </c>
      <c r="BZ55" s="18">
        <v>1494670</v>
      </c>
      <c r="CA55" s="18">
        <v>287.05</v>
      </c>
      <c r="CB55" s="18">
        <v>1.31518</v>
      </c>
      <c r="CC55" s="18">
        <v>1197.8</v>
      </c>
      <c r="CD55" s="18">
        <v>720.59400000000005</v>
      </c>
      <c r="CE55" s="18">
        <v>7480.3</v>
      </c>
      <c r="CF55" s="18">
        <v>0</v>
      </c>
      <c r="CG55" s="18">
        <v>0</v>
      </c>
      <c r="CH55" s="18">
        <v>1990660</v>
      </c>
      <c r="CI55" s="18">
        <v>1190.6500000000001</v>
      </c>
      <c r="CJ55" s="18">
        <v>5.8243900000000002</v>
      </c>
      <c r="CK55" s="18">
        <v>926911</v>
      </c>
      <c r="CL55" s="18">
        <v>1268690</v>
      </c>
      <c r="CM55" s="18">
        <v>287.05399999999997</v>
      </c>
      <c r="CN55" s="18">
        <v>1.32413</v>
      </c>
      <c r="CO55" s="18">
        <v>1172.6600000000001</v>
      </c>
      <c r="CP55" s="18">
        <v>672.279</v>
      </c>
      <c r="CQ55" s="18">
        <v>7480.3</v>
      </c>
      <c r="CR55" s="18">
        <v>672.27800000000002</v>
      </c>
      <c r="CS55" s="18">
        <v>0.99999851252233096</v>
      </c>
      <c r="CT55" s="18">
        <v>889.54300000000001</v>
      </c>
      <c r="CU55" s="18">
        <v>147.642</v>
      </c>
      <c r="CV55" s="18">
        <v>2.0986600000000001E-2</v>
      </c>
      <c r="CW55" s="18">
        <v>106282</v>
      </c>
      <c r="CX55" s="18">
        <v>148668</v>
      </c>
      <c r="CY55" s="18">
        <v>287.08800000000002</v>
      </c>
      <c r="CZ55" s="18">
        <v>1.3905700000000001</v>
      </c>
      <c r="DA55" s="18">
        <v>1022.13</v>
      </c>
      <c r="DB55" s="18">
        <v>242.72800000000001</v>
      </c>
      <c r="DC55" s="18">
        <v>7480.3</v>
      </c>
      <c r="DD55" s="18">
        <v>1640.73</v>
      </c>
      <c r="DE55" s="18">
        <v>6.7595599999999996</v>
      </c>
      <c r="DF55" s="86">
        <f t="shared" si="29"/>
        <v>3398277.4776950041</v>
      </c>
      <c r="DG55" s="86">
        <f t="shared" si="30"/>
        <v>1494665.4664499999</v>
      </c>
      <c r="DH55" s="64"/>
      <c r="DI55" s="3">
        <v>294</v>
      </c>
      <c r="DK55" s="3">
        <v>968</v>
      </c>
      <c r="DL55" s="65">
        <f t="shared" si="16"/>
        <v>1583.6</v>
      </c>
      <c r="DM55" s="65">
        <f t="shared" si="17"/>
        <v>4951.3999999999996</v>
      </c>
      <c r="DT55" s="3" t="s">
        <v>243</v>
      </c>
      <c r="DU55" s="2">
        <v>5.9179945199999997</v>
      </c>
      <c r="DV55" s="2">
        <f t="shared" si="19"/>
        <v>3.6556952248616E-2</v>
      </c>
      <c r="DW55" s="2">
        <f t="shared" si="20"/>
        <v>187.14179076846</v>
      </c>
      <c r="DX55" s="2">
        <f t="shared" si="21"/>
        <v>273.27525492987667</v>
      </c>
      <c r="DY55" s="2">
        <f t="shared" si="22"/>
        <v>1617.2414611266131</v>
      </c>
      <c r="DZ55" s="19">
        <f t="shared" si="23"/>
        <v>4713103.6976746786</v>
      </c>
      <c r="EA55" s="2">
        <v>5.7739619199999996</v>
      </c>
      <c r="EB55" s="2">
        <f t="shared" si="24"/>
        <v>3.8736635215236001E-2</v>
      </c>
      <c r="EC55" s="2">
        <f t="shared" si="25"/>
        <v>195.38821508844001</v>
      </c>
      <c r="ED55" s="2">
        <f t="shared" si="26"/>
        <v>279.23130139282557</v>
      </c>
      <c r="EE55" s="2">
        <f t="shared" si="27"/>
        <v>1612.2709011142176</v>
      </c>
      <c r="EF55" s="19">
        <f t="shared" si="28"/>
        <v>4796007.7978009777</v>
      </c>
    </row>
    <row r="56" spans="1:136">
      <c r="A56" s="1">
        <v>54</v>
      </c>
      <c r="B56" s="2" t="s">
        <v>173</v>
      </c>
      <c r="C56" s="2">
        <v>250124</v>
      </c>
      <c r="D56" s="2" t="s">
        <v>174</v>
      </c>
      <c r="E56" s="2" t="s">
        <v>230</v>
      </c>
      <c r="F56" s="2">
        <v>6.76</v>
      </c>
      <c r="G56" s="2">
        <v>1024.4000000000001</v>
      </c>
      <c r="H56" s="2">
        <v>19.8</v>
      </c>
      <c r="I56" s="2">
        <v>16.399999999999999</v>
      </c>
      <c r="J56" s="2" t="s">
        <v>151</v>
      </c>
      <c r="K56" s="2">
        <v>114.3</v>
      </c>
      <c r="L56" s="2" t="s">
        <v>240</v>
      </c>
      <c r="M56" s="2" t="s">
        <v>153</v>
      </c>
      <c r="N56" s="2" t="s">
        <v>154</v>
      </c>
      <c r="O56" s="2">
        <v>-0.6</v>
      </c>
      <c r="P56" s="2">
        <v>22.5</v>
      </c>
      <c r="Q56" s="2">
        <v>0.59</v>
      </c>
      <c r="R56" s="2">
        <v>2500000</v>
      </c>
      <c r="S56" s="2" t="s">
        <v>155</v>
      </c>
      <c r="T56" s="2" t="s">
        <v>228</v>
      </c>
      <c r="U56" s="2" t="s">
        <v>157</v>
      </c>
      <c r="V56" s="2">
        <v>1500000</v>
      </c>
      <c r="W56" s="2">
        <v>1280</v>
      </c>
      <c r="X56" s="2">
        <v>32</v>
      </c>
      <c r="Y56" s="2" t="s">
        <v>158</v>
      </c>
      <c r="Z56" s="2">
        <v>9.5000000000000001E-2</v>
      </c>
      <c r="AA56" s="17">
        <v>0.40239999999999998</v>
      </c>
      <c r="AB56" s="63">
        <f t="shared" si="31"/>
        <v>22.5</v>
      </c>
      <c r="AC56" s="17">
        <v>32.909376574141099</v>
      </c>
      <c r="AD56" s="17">
        <v>4.2417634031910602E-2</v>
      </c>
      <c r="AE56" s="17">
        <v>38.5324805113884</v>
      </c>
      <c r="AF56" s="17">
        <v>20.795955470454999</v>
      </c>
      <c r="AG56" s="17">
        <v>0.74001103050780304</v>
      </c>
      <c r="AH56" s="17">
        <v>2.8540000000000001</v>
      </c>
      <c r="AI56" s="17">
        <v>1023.7510237510201</v>
      </c>
      <c r="AJ56" s="17">
        <v>1.0488</v>
      </c>
      <c r="AK56" s="17">
        <v>0.36919999999999997</v>
      </c>
      <c r="AL56" s="17">
        <v>40240</v>
      </c>
      <c r="AM56" s="17">
        <v>295.64999999999998</v>
      </c>
      <c r="AN56" s="17">
        <v>0.47415299999999999</v>
      </c>
      <c r="AO56" s="17">
        <v>212827</v>
      </c>
      <c r="AP56" s="17">
        <v>297695</v>
      </c>
      <c r="AQ56" s="17">
        <v>287.053</v>
      </c>
      <c r="AR56" s="17">
        <v>1.39052</v>
      </c>
      <c r="AS56" s="17">
        <v>1022.1</v>
      </c>
      <c r="AT56" s="17">
        <v>343.48200000000003</v>
      </c>
      <c r="AU56" s="17">
        <v>7106.49</v>
      </c>
      <c r="AV56" s="17">
        <v>0</v>
      </c>
      <c r="AW56" s="17">
        <v>0</v>
      </c>
      <c r="AX56" s="17">
        <v>410847</v>
      </c>
      <c r="AY56" s="17">
        <v>767.39599999999996</v>
      </c>
      <c r="AZ56" s="17">
        <v>1.8650800000000001</v>
      </c>
      <c r="BA56" s="17">
        <v>567574</v>
      </c>
      <c r="BB56" s="17">
        <v>787859</v>
      </c>
      <c r="BC56" s="17">
        <v>287.05399999999997</v>
      </c>
      <c r="BD56" s="17">
        <v>1.35721</v>
      </c>
      <c r="BE56" s="17">
        <v>1090.67</v>
      </c>
      <c r="BF56" s="17">
        <v>546.81100000000004</v>
      </c>
      <c r="BG56" s="17">
        <v>7435.43</v>
      </c>
      <c r="BH56" s="17">
        <v>260.26499999999999</v>
      </c>
      <c r="BI56" s="17">
        <v>0.47596884481109603</v>
      </c>
      <c r="BJ56" s="18">
        <v>2044690</v>
      </c>
      <c r="BK56" s="17">
        <v>1278.1500000000001</v>
      </c>
      <c r="BL56" s="17">
        <v>5.5729499999999996</v>
      </c>
      <c r="BM56" s="17">
        <v>1005560</v>
      </c>
      <c r="BN56" s="17">
        <v>1372460</v>
      </c>
      <c r="BO56" s="17">
        <v>287.053</v>
      </c>
      <c r="BP56" s="17">
        <v>1.31959</v>
      </c>
      <c r="BQ56" s="17">
        <v>1185.26</v>
      </c>
      <c r="BR56" s="17">
        <v>695.11300000000006</v>
      </c>
      <c r="BS56" s="17">
        <v>7556.76</v>
      </c>
      <c r="BT56" s="17">
        <v>0</v>
      </c>
      <c r="BU56" s="17">
        <v>0</v>
      </c>
      <c r="BV56" s="18">
        <v>2079600</v>
      </c>
      <c r="BW56" s="17">
        <v>1283.3800000000001</v>
      </c>
      <c r="BX56" s="17">
        <v>5.64499</v>
      </c>
      <c r="BY56" s="17">
        <v>1010290</v>
      </c>
      <c r="BZ56" s="17">
        <v>1378680</v>
      </c>
      <c r="CA56" s="17">
        <v>287.05200000000002</v>
      </c>
      <c r="CB56" s="17">
        <v>1.3193600000000001</v>
      </c>
      <c r="CC56" s="17">
        <v>1185.8900000000001</v>
      </c>
      <c r="CD56" s="17">
        <v>696.45600000000002</v>
      </c>
      <c r="CE56" s="17">
        <v>7556.76</v>
      </c>
      <c r="CF56" s="17">
        <v>0</v>
      </c>
      <c r="CG56" s="17">
        <v>0</v>
      </c>
      <c r="CH56" s="17">
        <v>1123810</v>
      </c>
      <c r="CI56" s="17">
        <v>1104.6500000000001</v>
      </c>
      <c r="CJ56" s="17">
        <v>3.5441199999999999</v>
      </c>
      <c r="CK56" s="17">
        <v>851050</v>
      </c>
      <c r="CL56" s="17">
        <v>1168140</v>
      </c>
      <c r="CM56" s="17">
        <v>287.05200000000002</v>
      </c>
      <c r="CN56" s="17">
        <v>1.3290299999999999</v>
      </c>
      <c r="CO56" s="17">
        <v>1159.48</v>
      </c>
      <c r="CP56" s="17">
        <v>648.90800000000002</v>
      </c>
      <c r="CQ56" s="17">
        <v>7556.76</v>
      </c>
      <c r="CR56" s="17">
        <v>648.90700000000004</v>
      </c>
      <c r="CS56" s="17">
        <v>0.99999845894949702</v>
      </c>
      <c r="CT56" s="17">
        <v>508.74200000000002</v>
      </c>
      <c r="CU56" s="17">
        <v>136.15299999999999</v>
      </c>
      <c r="CV56" s="17">
        <v>1.30157E-2</v>
      </c>
      <c r="CW56" s="17">
        <v>98011.7</v>
      </c>
      <c r="CX56" s="17">
        <v>137098</v>
      </c>
      <c r="CY56" s="17">
        <v>287.07799999999997</v>
      </c>
      <c r="CZ56" s="17">
        <v>1.39056</v>
      </c>
      <c r="DA56" s="17">
        <v>1022.12</v>
      </c>
      <c r="DB56" s="17">
        <v>233.09299999999999</v>
      </c>
      <c r="DC56" s="17">
        <v>7556.76</v>
      </c>
      <c r="DD56" s="17">
        <v>1575.81</v>
      </c>
      <c r="DE56" s="17">
        <v>6.7604199999999999</v>
      </c>
      <c r="DF56" s="90">
        <f t="shared" si="29"/>
        <v>2184197.5148107135</v>
      </c>
      <c r="DG56" s="19">
        <f t="shared" si="30"/>
        <v>1378686.5780499999</v>
      </c>
      <c r="DI56" s="2">
        <v>297</v>
      </c>
      <c r="DK56" s="2">
        <v>1000</v>
      </c>
      <c r="DL56" s="16">
        <f t="shared" si="16"/>
        <v>1553.8</v>
      </c>
      <c r="DM56" s="16">
        <f t="shared" si="17"/>
        <v>5834.8</v>
      </c>
      <c r="DU56" s="2">
        <v>5.9179945199999997</v>
      </c>
      <c r="DV56" s="2">
        <f t="shared" si="19"/>
        <v>2.2672292004532E-2</v>
      </c>
      <c r="DW56" s="2">
        <f t="shared" si="20"/>
        <v>172.57905093739001</v>
      </c>
      <c r="DX56" s="2">
        <f t="shared" si="21"/>
        <v>262.42769271517801</v>
      </c>
      <c r="DY56" s="2">
        <f t="shared" si="22"/>
        <v>1553.0456473846673</v>
      </c>
      <c r="DZ56" s="19">
        <f t="shared" si="23"/>
        <v>3014859.9323500851</v>
      </c>
      <c r="EA56" s="2">
        <v>5.7739619199999996</v>
      </c>
      <c r="EB56" s="2">
        <f t="shared" si="24"/>
        <v>2.4024111717521997E-2</v>
      </c>
      <c r="EC56" s="2">
        <f t="shared" si="25"/>
        <v>180.18376646845999</v>
      </c>
      <c r="ED56" s="2">
        <f t="shared" si="26"/>
        <v>268.14731607213787</v>
      </c>
      <c r="EE56" s="2">
        <f t="shared" si="27"/>
        <v>1548.272391950728</v>
      </c>
      <c r="EF56" s="19">
        <f t="shared" si="28"/>
        <v>3065376.6089616558</v>
      </c>
    </row>
    <row r="57" spans="1:136" s="3" customFormat="1">
      <c r="A57" s="85">
        <v>55</v>
      </c>
      <c r="B57" s="3" t="s">
        <v>173</v>
      </c>
      <c r="C57" s="3">
        <v>250221</v>
      </c>
      <c r="D57" s="3" t="s">
        <v>174</v>
      </c>
      <c r="E57" s="3" t="s">
        <v>230</v>
      </c>
      <c r="F57" s="3">
        <v>6.76</v>
      </c>
      <c r="G57" s="3">
        <v>1029.9000000000001</v>
      </c>
      <c r="H57" s="3">
        <v>18.600000000000001</v>
      </c>
      <c r="I57" s="3">
        <v>16.399999999999999</v>
      </c>
      <c r="J57" s="3" t="s">
        <v>151</v>
      </c>
      <c r="K57" s="3">
        <v>101.7</v>
      </c>
      <c r="L57" s="3" t="s">
        <v>227</v>
      </c>
      <c r="M57" s="3" t="s">
        <v>153</v>
      </c>
      <c r="N57" s="3" t="s">
        <v>154</v>
      </c>
      <c r="O57" s="3">
        <v>-0.4</v>
      </c>
      <c r="P57" s="3">
        <v>20.5</v>
      </c>
      <c r="Q57" s="3">
        <v>0.62</v>
      </c>
      <c r="R57" s="3">
        <v>2500000</v>
      </c>
      <c r="S57" s="3" t="s">
        <v>155</v>
      </c>
      <c r="T57" s="3" t="s">
        <v>167</v>
      </c>
      <c r="U57" s="3" t="s">
        <v>157</v>
      </c>
      <c r="V57" s="3">
        <v>1500000</v>
      </c>
      <c r="W57" s="3">
        <v>1280</v>
      </c>
      <c r="X57" s="3">
        <v>32</v>
      </c>
      <c r="Y57" s="3" t="s">
        <v>158</v>
      </c>
      <c r="Z57" s="3">
        <v>9.5000000000000001E-2</v>
      </c>
      <c r="AA57" s="18">
        <v>0.60428219151999996</v>
      </c>
      <c r="AB57" s="18">
        <v>20.194161999999999</v>
      </c>
      <c r="AC57" s="18">
        <v>63.351561165055202</v>
      </c>
      <c r="AD57" s="18">
        <v>2.5458179223307498E-2</v>
      </c>
      <c r="AE57" s="18">
        <v>26.570002769129101</v>
      </c>
      <c r="AF57" s="18">
        <v>37.627467081701901</v>
      </c>
      <c r="AG57" s="18">
        <v>1.13020141533611</v>
      </c>
      <c r="AH57" s="18">
        <v>2.6812</v>
      </c>
      <c r="AI57" s="18">
        <v>1041.6666666666699</v>
      </c>
      <c r="AJ57" s="18">
        <v>0.92159999999999997</v>
      </c>
      <c r="AK57" s="18">
        <v>0.4108</v>
      </c>
      <c r="AL57" s="18">
        <v>60428.2</v>
      </c>
      <c r="AM57" s="18">
        <v>293.34399999999999</v>
      </c>
      <c r="AN57" s="18">
        <v>0.71763200000000005</v>
      </c>
      <c r="AO57" s="18">
        <v>211168</v>
      </c>
      <c r="AP57" s="18">
        <v>295373</v>
      </c>
      <c r="AQ57" s="18">
        <v>287.05200000000002</v>
      </c>
      <c r="AR57" s="18">
        <v>1.39052</v>
      </c>
      <c r="AS57" s="18">
        <v>1022.1</v>
      </c>
      <c r="AT57" s="18">
        <v>342.13900000000001</v>
      </c>
      <c r="AU57" s="18">
        <v>6981.72</v>
      </c>
      <c r="AV57" s="18">
        <v>0</v>
      </c>
      <c r="AW57" s="18">
        <v>0</v>
      </c>
      <c r="AX57" s="18">
        <v>644408</v>
      </c>
      <c r="AY57" s="18">
        <v>782.18299999999999</v>
      </c>
      <c r="AZ57" s="18">
        <v>2.8700700000000001</v>
      </c>
      <c r="BA57" s="18">
        <v>579461</v>
      </c>
      <c r="BB57" s="18">
        <v>803988</v>
      </c>
      <c r="BC57" s="18">
        <v>287.05200000000002</v>
      </c>
      <c r="BD57" s="18">
        <v>1.3556299999999999</v>
      </c>
      <c r="BE57" s="18">
        <v>1094.21</v>
      </c>
      <c r="BF57" s="18">
        <v>551.72199999999998</v>
      </c>
      <c r="BG57" s="18">
        <v>7327.08</v>
      </c>
      <c r="BH57" s="18">
        <v>260.45800000000003</v>
      </c>
      <c r="BI57" s="18">
        <v>0.47208195431757299</v>
      </c>
      <c r="BJ57" s="18">
        <v>3262100</v>
      </c>
      <c r="BK57" s="18">
        <v>1310.3800000000001</v>
      </c>
      <c r="BL57" s="18">
        <v>8.6724700000000006</v>
      </c>
      <c r="BM57" s="18">
        <v>1034800</v>
      </c>
      <c r="BN57" s="18">
        <v>1410940</v>
      </c>
      <c r="BO57" s="18">
        <v>287.04899999999998</v>
      </c>
      <c r="BP57" s="18">
        <v>1.3181799999999999</v>
      </c>
      <c r="BQ57" s="18">
        <v>1189.2</v>
      </c>
      <c r="BR57" s="18">
        <v>703.31299999999999</v>
      </c>
      <c r="BS57" s="18">
        <v>7452.38</v>
      </c>
      <c r="BT57" s="18">
        <v>0</v>
      </c>
      <c r="BU57" s="18">
        <v>0</v>
      </c>
      <c r="BV57" s="18">
        <v>3762740</v>
      </c>
      <c r="BW57" s="18">
        <v>1355.8</v>
      </c>
      <c r="BX57" s="18">
        <v>9.6683299999999992</v>
      </c>
      <c r="BY57" s="18">
        <v>1076350</v>
      </c>
      <c r="BZ57" s="18">
        <v>1465530</v>
      </c>
      <c r="CA57" s="18">
        <v>287.05</v>
      </c>
      <c r="CB57" s="18">
        <v>1.3162199999999999</v>
      </c>
      <c r="CC57" s="18">
        <v>1194.81</v>
      </c>
      <c r="CD57" s="18">
        <v>714.66700000000003</v>
      </c>
      <c r="CE57" s="18">
        <v>7452.38</v>
      </c>
      <c r="CF57" s="18">
        <v>0</v>
      </c>
      <c r="CG57" s="18">
        <v>0</v>
      </c>
      <c r="CH57" s="18">
        <v>2036230</v>
      </c>
      <c r="CI57" s="18">
        <v>1169.1400000000001</v>
      </c>
      <c r="CJ57" s="18">
        <v>6.0673399999999997</v>
      </c>
      <c r="CK57" s="18">
        <v>907806</v>
      </c>
      <c r="CL57" s="18">
        <v>1243410</v>
      </c>
      <c r="CM57" s="18">
        <v>287.05399999999997</v>
      </c>
      <c r="CN57" s="18">
        <v>1.3252999999999999</v>
      </c>
      <c r="CO57" s="18">
        <v>1169.49</v>
      </c>
      <c r="CP57" s="18">
        <v>666.51800000000003</v>
      </c>
      <c r="CQ57" s="18">
        <v>7452.38</v>
      </c>
      <c r="CR57" s="18">
        <v>666.51700000000005</v>
      </c>
      <c r="CS57" s="18">
        <v>0.99999849966542598</v>
      </c>
      <c r="CT57" s="18">
        <v>914.14800000000002</v>
      </c>
      <c r="CU57" s="18">
        <v>144.72900000000001</v>
      </c>
      <c r="CV57" s="18">
        <v>2.2001900000000001E-2</v>
      </c>
      <c r="CW57" s="18">
        <v>104185</v>
      </c>
      <c r="CX57" s="18">
        <v>145734</v>
      </c>
      <c r="CY57" s="18">
        <v>287.07799999999997</v>
      </c>
      <c r="CZ57" s="18">
        <v>1.39056</v>
      </c>
      <c r="DA57" s="18">
        <v>1022.12</v>
      </c>
      <c r="DB57" s="18">
        <v>240.321</v>
      </c>
      <c r="DC57" s="18">
        <v>7452.38</v>
      </c>
      <c r="DD57" s="18">
        <v>1624.68</v>
      </c>
      <c r="DE57" s="18">
        <v>6.7604600000000001</v>
      </c>
      <c r="DF57" s="86">
        <f t="shared" si="29"/>
        <v>3593934.2018597177</v>
      </c>
      <c r="DG57" s="86">
        <f t="shared" si="30"/>
        <v>1465526.5512000001</v>
      </c>
      <c r="DH57" s="64"/>
      <c r="DL57" s="65"/>
      <c r="DM57" s="65"/>
      <c r="DU57" s="2">
        <v>5.9179945199999997</v>
      </c>
      <c r="DV57" s="2">
        <f t="shared" si="19"/>
        <v>3.8325522365644002E-2</v>
      </c>
      <c r="DW57" s="2">
        <f t="shared" si="20"/>
        <v>183.44945365227002</v>
      </c>
      <c r="DX57" s="2">
        <f t="shared" si="21"/>
        <v>270.56533461324153</v>
      </c>
      <c r="DY57" s="2">
        <f t="shared" si="22"/>
        <v>1601.2041675431296</v>
      </c>
      <c r="DZ57" s="19">
        <f t="shared" si="23"/>
        <v>4978131.6331057027</v>
      </c>
      <c r="EA57" s="2">
        <v>5.7739619199999996</v>
      </c>
      <c r="EB57" s="2">
        <f t="shared" si="24"/>
        <v>4.0610655100974002E-2</v>
      </c>
      <c r="EC57" s="2">
        <f t="shared" si="25"/>
        <v>191.53317471678002</v>
      </c>
      <c r="ED57" s="2">
        <f t="shared" si="26"/>
        <v>276.46231824109799</v>
      </c>
      <c r="EE57" s="2">
        <f t="shared" si="27"/>
        <v>1596.282897839021</v>
      </c>
      <c r="EF57" s="19">
        <f t="shared" si="28"/>
        <v>5064683.5206277939</v>
      </c>
    </row>
    <row r="58" spans="1:136">
      <c r="A58" s="1">
        <v>56</v>
      </c>
      <c r="B58" s="2" t="s">
        <v>173</v>
      </c>
      <c r="C58" s="2">
        <v>250221</v>
      </c>
      <c r="D58" s="2" t="s">
        <v>174</v>
      </c>
      <c r="E58" s="2" t="s">
        <v>236</v>
      </c>
      <c r="F58" s="2">
        <v>6.76</v>
      </c>
      <c r="G58" s="2">
        <v>1029.5</v>
      </c>
      <c r="H58" s="2">
        <v>18.399999999999999</v>
      </c>
      <c r="I58" s="2">
        <v>17.7</v>
      </c>
      <c r="J58" s="2" t="s">
        <v>151</v>
      </c>
      <c r="K58" s="2">
        <v>208.3</v>
      </c>
      <c r="L58" s="2" t="s">
        <v>244</v>
      </c>
      <c r="M58" s="2" t="s">
        <v>153</v>
      </c>
      <c r="N58" s="2" t="s">
        <v>154</v>
      </c>
      <c r="O58" s="2">
        <v>0.2</v>
      </c>
      <c r="P58" s="2">
        <v>20.100000000000001</v>
      </c>
      <c r="Q58" s="2">
        <v>0.62</v>
      </c>
      <c r="R58" s="2">
        <v>2500000</v>
      </c>
      <c r="S58" s="2" t="s">
        <v>155</v>
      </c>
      <c r="T58" s="2" t="s">
        <v>245</v>
      </c>
      <c r="U58" s="2" t="s">
        <v>157</v>
      </c>
      <c r="V58" s="2">
        <v>1500000</v>
      </c>
      <c r="W58" s="2">
        <v>1280</v>
      </c>
      <c r="X58" s="2">
        <v>32</v>
      </c>
      <c r="Y58" s="2" t="s">
        <v>158</v>
      </c>
      <c r="Z58" s="2">
        <v>9.5000000000000001E-2</v>
      </c>
      <c r="AA58" s="17">
        <v>1.202027116</v>
      </c>
      <c r="AB58" s="17">
        <v>20.257984</v>
      </c>
      <c r="AC58" s="17">
        <v>120.045681372012</v>
      </c>
      <c r="AD58" s="17">
        <v>1.3740765198236299E-2</v>
      </c>
      <c r="AE58" s="17">
        <v>28.9229636308857</v>
      </c>
      <c r="AF58" s="17">
        <v>87.612887872515103</v>
      </c>
      <c r="AG58" s="17">
        <v>2.63047162020092</v>
      </c>
      <c r="AH58" s="17">
        <v>3.2656000000000001</v>
      </c>
      <c r="AI58" s="17">
        <v>1128.1588447653401</v>
      </c>
      <c r="AJ58" s="17">
        <v>0.76319999999999999</v>
      </c>
      <c r="AK58" s="17">
        <v>0.37119999999999997</v>
      </c>
      <c r="AL58" s="17">
        <v>120203</v>
      </c>
      <c r="AM58" s="17">
        <v>293.40800000000002</v>
      </c>
      <c r="AN58" s="17">
        <v>1.42717</v>
      </c>
      <c r="AO58" s="17">
        <v>211214</v>
      </c>
      <c r="AP58" s="17">
        <v>295438</v>
      </c>
      <c r="AQ58" s="17">
        <v>287.05500000000001</v>
      </c>
      <c r="AR58" s="17">
        <v>1.39053</v>
      </c>
      <c r="AS58" s="17">
        <v>1022.1</v>
      </c>
      <c r="AT58" s="17">
        <v>342.17599999999999</v>
      </c>
      <c r="AU58" s="17">
        <v>6784.52</v>
      </c>
      <c r="AV58" s="17">
        <v>0</v>
      </c>
      <c r="AW58" s="17">
        <v>0</v>
      </c>
      <c r="AX58" s="17">
        <v>1509670</v>
      </c>
      <c r="AY58" s="17">
        <v>866.19299999999998</v>
      </c>
      <c r="AZ58" s="17">
        <v>6.0716900000000003</v>
      </c>
      <c r="BA58" s="17">
        <v>648009</v>
      </c>
      <c r="BB58" s="17">
        <v>896649</v>
      </c>
      <c r="BC58" s="17">
        <v>287.05</v>
      </c>
      <c r="BD58" s="17">
        <v>1.34751</v>
      </c>
      <c r="BE58" s="17">
        <v>1113.07</v>
      </c>
      <c r="BF58" s="17">
        <v>578.80499999999995</v>
      </c>
      <c r="BG58" s="17">
        <v>7195.34</v>
      </c>
      <c r="BH58" s="17">
        <v>265.178</v>
      </c>
      <c r="BI58" s="17">
        <v>0.458147389880875</v>
      </c>
      <c r="BJ58" s="18">
        <v>8129220</v>
      </c>
      <c r="BK58" s="17">
        <v>1478.33</v>
      </c>
      <c r="BL58" s="17">
        <v>19.157299999999999</v>
      </c>
      <c r="BM58" s="17">
        <v>1190190</v>
      </c>
      <c r="BN58" s="17">
        <v>1614530</v>
      </c>
      <c r="BO58" s="17">
        <v>287.04000000000002</v>
      </c>
      <c r="BP58" s="17">
        <v>1.31152</v>
      </c>
      <c r="BQ58" s="17">
        <v>1208.47</v>
      </c>
      <c r="BR58" s="17">
        <v>744.298</v>
      </c>
      <c r="BS58" s="17">
        <v>7336.47</v>
      </c>
      <c r="BT58" s="17">
        <v>0</v>
      </c>
      <c r="BU58" s="17">
        <v>0</v>
      </c>
      <c r="BV58" s="18">
        <v>8761290</v>
      </c>
      <c r="BW58" s="17">
        <v>1504.4</v>
      </c>
      <c r="BX58" s="17">
        <v>20.289200000000001</v>
      </c>
      <c r="BY58" s="17">
        <v>1214770</v>
      </c>
      <c r="BZ58" s="17">
        <v>1646590</v>
      </c>
      <c r="CA58" s="17">
        <v>287.03699999999998</v>
      </c>
      <c r="CB58" s="17">
        <v>1.3105899999999999</v>
      </c>
      <c r="CC58" s="17">
        <v>1211.22</v>
      </c>
      <c r="CD58" s="17">
        <v>750.42</v>
      </c>
      <c r="CE58" s="17">
        <v>7336.47</v>
      </c>
      <c r="CF58" s="17">
        <v>0</v>
      </c>
      <c r="CG58" s="17">
        <v>0</v>
      </c>
      <c r="CH58" s="17">
        <v>4754430</v>
      </c>
      <c r="CI58" s="17">
        <v>1301.8800000000001</v>
      </c>
      <c r="CJ58" s="17">
        <v>12.7225</v>
      </c>
      <c r="CK58" s="17">
        <v>1027070</v>
      </c>
      <c r="CL58" s="17">
        <v>1400770</v>
      </c>
      <c r="CM58" s="17">
        <v>287.048</v>
      </c>
      <c r="CN58" s="17">
        <v>1.3185500000000001</v>
      </c>
      <c r="CO58" s="17">
        <v>1188.1600000000001</v>
      </c>
      <c r="CP58" s="17">
        <v>701.16099999999994</v>
      </c>
      <c r="CQ58" s="17">
        <v>7336.47</v>
      </c>
      <c r="CR58" s="17">
        <v>701.16099999999994</v>
      </c>
      <c r="CS58" s="17">
        <v>1</v>
      </c>
      <c r="CT58" s="17">
        <v>2096.81</v>
      </c>
      <c r="CU58" s="17">
        <v>162.631</v>
      </c>
      <c r="CV58" s="17">
        <v>4.49168E-2</v>
      </c>
      <c r="CW58" s="17">
        <v>117072</v>
      </c>
      <c r="CX58" s="17">
        <v>163754</v>
      </c>
      <c r="CY58" s="17">
        <v>287.04300000000001</v>
      </c>
      <c r="CZ58" s="17">
        <v>1.3905099999999999</v>
      </c>
      <c r="DA58" s="17">
        <v>1022.09</v>
      </c>
      <c r="DB58" s="17">
        <v>254.75200000000001</v>
      </c>
      <c r="DC58" s="17">
        <v>7336.48</v>
      </c>
      <c r="DD58" s="17">
        <v>1722.11</v>
      </c>
      <c r="DE58" s="17">
        <v>6.7599600000000004</v>
      </c>
      <c r="DF58" s="19">
        <f t="shared" si="29"/>
        <v>6985949.7683841093</v>
      </c>
      <c r="DG58" s="19">
        <f t="shared" si="30"/>
        <v>1646585.4260499999</v>
      </c>
      <c r="DI58" s="2">
        <v>303</v>
      </c>
      <c r="DK58" s="2">
        <v>1087</v>
      </c>
      <c r="DL58" s="16">
        <f>DK58+AK58/1000*V58</f>
        <v>1643.8</v>
      </c>
      <c r="DM58" s="16">
        <f>DL58+AH58/1000*V58</f>
        <v>6542.2</v>
      </c>
      <c r="DU58" s="2">
        <v>5.9179945199999997</v>
      </c>
      <c r="DV58" s="2">
        <f t="shared" si="19"/>
        <v>7.8241416559167998E-2</v>
      </c>
      <c r="DW58" s="2">
        <f t="shared" si="20"/>
        <v>206.14091230453002</v>
      </c>
      <c r="DX58" s="2">
        <f t="shared" si="21"/>
        <v>286.81247216594682</v>
      </c>
      <c r="DY58" s="2">
        <f t="shared" si="22"/>
        <v>1697.3546385457257</v>
      </c>
      <c r="DZ58" s="19">
        <f t="shared" si="23"/>
        <v>9741161.4083841313</v>
      </c>
      <c r="EA58" s="2">
        <v>5.7739619199999996</v>
      </c>
      <c r="EB58" s="2">
        <f t="shared" si="24"/>
        <v>8.2906506848928002E-2</v>
      </c>
      <c r="EC58" s="2">
        <f t="shared" si="25"/>
        <v>215.22453507842002</v>
      </c>
      <c r="ED58" s="2">
        <f t="shared" si="26"/>
        <v>293.06356288695616</v>
      </c>
      <c r="EE58" s="2">
        <f t="shared" si="27"/>
        <v>1692.1378522488101</v>
      </c>
      <c r="EF58" s="19">
        <f t="shared" si="28"/>
        <v>9921989.7416603733</v>
      </c>
    </row>
    <row r="59" spans="1:136">
      <c r="A59" s="1">
        <v>57</v>
      </c>
      <c r="B59" s="2" t="s">
        <v>173</v>
      </c>
      <c r="C59" s="2">
        <v>250224</v>
      </c>
      <c r="D59" s="2" t="s">
        <v>174</v>
      </c>
      <c r="E59" s="2" t="s">
        <v>233</v>
      </c>
      <c r="F59" s="2">
        <v>6.76</v>
      </c>
      <c r="G59" s="2">
        <v>1031.0999999999999</v>
      </c>
      <c r="H59" s="2">
        <v>18.2</v>
      </c>
      <c r="I59" s="2">
        <v>20.7</v>
      </c>
      <c r="J59" s="2" t="s">
        <v>151</v>
      </c>
      <c r="K59" s="2">
        <v>225.7</v>
      </c>
      <c r="L59" s="2" t="s">
        <v>246</v>
      </c>
      <c r="M59" s="2" t="s">
        <v>153</v>
      </c>
      <c r="N59" s="2" t="s">
        <v>154</v>
      </c>
      <c r="O59" s="2">
        <v>0.2</v>
      </c>
      <c r="P59" s="2">
        <v>20.5</v>
      </c>
      <c r="Q59" s="2">
        <v>0.62</v>
      </c>
      <c r="R59" s="2">
        <v>2500000</v>
      </c>
      <c r="S59" s="2" t="s">
        <v>155</v>
      </c>
      <c r="T59" s="2" t="s">
        <v>245</v>
      </c>
      <c r="U59" s="2" t="s">
        <v>157</v>
      </c>
      <c r="V59" s="2">
        <v>1500000</v>
      </c>
      <c r="W59" s="2">
        <v>1280</v>
      </c>
      <c r="X59" s="2">
        <v>32</v>
      </c>
      <c r="Y59" s="2" t="s">
        <v>158</v>
      </c>
      <c r="Z59" s="2">
        <v>9.5000000000000001E-2</v>
      </c>
      <c r="AA59" s="17">
        <v>1.2006940129599999</v>
      </c>
      <c r="AB59" s="17">
        <v>20.654968</v>
      </c>
      <c r="AC59" s="17">
        <v>121.276678512586</v>
      </c>
      <c r="AD59" s="17">
        <v>1.3161812622800299E-2</v>
      </c>
      <c r="AE59" s="17">
        <v>27.057904534010699</v>
      </c>
      <c r="AF59" s="17">
        <v>89.712028892905494</v>
      </c>
      <c r="AG59" s="17">
        <v>2.70044657242215</v>
      </c>
      <c r="AH59" s="17">
        <v>2.8675999999999999</v>
      </c>
      <c r="AI59" s="17">
        <v>1114.08199643494</v>
      </c>
      <c r="AJ59" s="17">
        <v>0.76239999999999997</v>
      </c>
      <c r="AK59" s="17">
        <v>0.36759999999999998</v>
      </c>
      <c r="AL59" s="17">
        <v>120069</v>
      </c>
      <c r="AM59" s="17">
        <v>293.80500000000001</v>
      </c>
      <c r="AN59" s="17">
        <v>1.42367</v>
      </c>
      <c r="AO59" s="17">
        <v>211499</v>
      </c>
      <c r="AP59" s="17">
        <v>295838</v>
      </c>
      <c r="AQ59" s="17">
        <v>287.05500000000001</v>
      </c>
      <c r="AR59" s="17">
        <v>1.39053</v>
      </c>
      <c r="AS59" s="17">
        <v>1022.1</v>
      </c>
      <c r="AT59" s="17">
        <v>342.40699999999998</v>
      </c>
      <c r="AU59" s="17">
        <v>6786.24</v>
      </c>
      <c r="AV59" s="17">
        <v>0</v>
      </c>
      <c r="AW59" s="17">
        <v>0</v>
      </c>
      <c r="AX59" s="17">
        <v>1467620</v>
      </c>
      <c r="AY59" s="17">
        <v>852.53800000000001</v>
      </c>
      <c r="AZ59" s="17">
        <v>5.9971100000000002</v>
      </c>
      <c r="BA59" s="17">
        <v>636733</v>
      </c>
      <c r="BB59" s="17">
        <v>881454</v>
      </c>
      <c r="BC59" s="17">
        <v>287.04899999999998</v>
      </c>
      <c r="BD59" s="17">
        <v>1.3487100000000001</v>
      </c>
      <c r="BE59" s="17">
        <v>1110.22</v>
      </c>
      <c r="BF59" s="17">
        <v>574.48199999999997</v>
      </c>
      <c r="BG59" s="17">
        <v>7185.79</v>
      </c>
      <c r="BH59" s="17">
        <v>264.47399999999999</v>
      </c>
      <c r="BI59" s="17">
        <v>0.46036951549395799</v>
      </c>
      <c r="BJ59" s="18">
        <v>7825080</v>
      </c>
      <c r="BK59" s="17">
        <v>1450.64</v>
      </c>
      <c r="BL59" s="17">
        <v>18.7925</v>
      </c>
      <c r="BM59" s="17">
        <v>1164250</v>
      </c>
      <c r="BN59" s="17">
        <v>1580650</v>
      </c>
      <c r="BO59" s="17">
        <v>287.04199999999997</v>
      </c>
      <c r="BP59" s="17">
        <v>1.3125</v>
      </c>
      <c r="BQ59" s="17">
        <v>1205.57</v>
      </c>
      <c r="BR59" s="17">
        <v>737.72299999999996</v>
      </c>
      <c r="BS59" s="17">
        <v>7324.28</v>
      </c>
      <c r="BT59" s="17">
        <v>0</v>
      </c>
      <c r="BU59" s="17">
        <v>0</v>
      </c>
      <c r="BV59" s="18">
        <v>8971200</v>
      </c>
      <c r="BW59" s="17">
        <v>1497.83</v>
      </c>
      <c r="BX59" s="17">
        <v>20.866599999999998</v>
      </c>
      <c r="BY59" s="17">
        <v>1208560</v>
      </c>
      <c r="BZ59" s="17">
        <v>1638490</v>
      </c>
      <c r="CA59" s="17">
        <v>287.03699999999998</v>
      </c>
      <c r="CB59" s="17">
        <v>1.3108200000000001</v>
      </c>
      <c r="CC59" s="17">
        <v>1210.52</v>
      </c>
      <c r="CD59" s="17">
        <v>748.88300000000004</v>
      </c>
      <c r="CE59" s="17">
        <v>7324.28</v>
      </c>
      <c r="CF59" s="17">
        <v>0</v>
      </c>
      <c r="CG59" s="17">
        <v>0</v>
      </c>
      <c r="CH59" s="17">
        <v>4867800</v>
      </c>
      <c r="CI59" s="17">
        <v>1295.98</v>
      </c>
      <c r="CJ59" s="17">
        <v>13.0852</v>
      </c>
      <c r="CK59" s="17">
        <v>1021720</v>
      </c>
      <c r="CL59" s="17">
        <v>1393730</v>
      </c>
      <c r="CM59" s="17">
        <v>287.048</v>
      </c>
      <c r="CN59" s="17">
        <v>1.3188</v>
      </c>
      <c r="CO59" s="17">
        <v>1187.44</v>
      </c>
      <c r="CP59" s="17">
        <v>699.66300000000001</v>
      </c>
      <c r="CQ59" s="17">
        <v>7324.28</v>
      </c>
      <c r="CR59" s="17">
        <v>699.66300000000001</v>
      </c>
      <c r="CS59" s="17">
        <v>1</v>
      </c>
      <c r="CT59" s="17">
        <v>2148.66</v>
      </c>
      <c r="CU59" s="17">
        <v>161.81899999999999</v>
      </c>
      <c r="CV59" s="17">
        <v>4.6258300000000002E-2</v>
      </c>
      <c r="CW59" s="17">
        <v>116487</v>
      </c>
      <c r="CX59" s="17">
        <v>162937</v>
      </c>
      <c r="CY59" s="17">
        <v>287.04500000000002</v>
      </c>
      <c r="CZ59" s="17">
        <v>1.3905099999999999</v>
      </c>
      <c r="DA59" s="17">
        <v>1022.09</v>
      </c>
      <c r="DB59" s="17">
        <v>254.11500000000001</v>
      </c>
      <c r="DC59" s="17">
        <v>7324.29</v>
      </c>
      <c r="DD59" s="17">
        <v>1717.88</v>
      </c>
      <c r="DE59" s="17">
        <v>6.7602500000000001</v>
      </c>
      <c r="DF59" s="19">
        <f t="shared" si="29"/>
        <v>7209552.3180844169</v>
      </c>
      <c r="DG59" s="19">
        <f t="shared" si="30"/>
        <v>1638492.8472000002</v>
      </c>
      <c r="DI59" s="2">
        <v>305</v>
      </c>
      <c r="DK59" s="2">
        <v>1364</v>
      </c>
      <c r="DL59" s="16">
        <f>DK59+AK59/1000*V59</f>
        <v>1915.4</v>
      </c>
      <c r="DM59" s="16">
        <f>DL59+AH59/1000*V59</f>
        <v>6216.8000000000011</v>
      </c>
      <c r="DU59" s="2">
        <v>5.9179945199999997</v>
      </c>
      <c r="DV59" s="2">
        <f t="shared" si="19"/>
        <v>8.0578200575707998E-2</v>
      </c>
      <c r="DW59" s="2">
        <f t="shared" si="20"/>
        <v>205.11167174897</v>
      </c>
      <c r="DX59" s="2">
        <f t="shared" si="21"/>
        <v>286.09530588356353</v>
      </c>
      <c r="DY59" s="2">
        <f t="shared" si="22"/>
        <v>1693.1104524166526</v>
      </c>
      <c r="DZ59" s="19">
        <f t="shared" si="23"/>
        <v>10049704.414590631</v>
      </c>
      <c r="EA59" s="2">
        <v>5.7739619199999996</v>
      </c>
      <c r="EB59" s="2">
        <f t="shared" si="24"/>
        <v>8.5382619994518003E-2</v>
      </c>
      <c r="EC59" s="2">
        <f t="shared" si="25"/>
        <v>214.14994092058001</v>
      </c>
      <c r="ED59" s="2">
        <f t="shared" si="26"/>
        <v>292.33076593321687</v>
      </c>
      <c r="EE59" s="2">
        <f t="shared" si="27"/>
        <v>1687.9067105428273</v>
      </c>
      <c r="EF59" s="19">
        <f t="shared" si="28"/>
        <v>10235760.620562429</v>
      </c>
    </row>
    <row r="60" spans="1:136">
      <c r="A60" s="1">
        <v>58</v>
      </c>
      <c r="B60" s="2" t="s">
        <v>247</v>
      </c>
      <c r="C60" s="2">
        <v>250224</v>
      </c>
      <c r="D60" s="2" t="s">
        <v>174</v>
      </c>
      <c r="E60" s="2" t="s">
        <v>233</v>
      </c>
      <c r="F60" s="2">
        <v>6.76</v>
      </c>
      <c r="G60" s="2">
        <v>1031.4000000000001</v>
      </c>
      <c r="H60" s="2">
        <v>18.600000000000001</v>
      </c>
      <c r="I60" s="2">
        <v>21.2</v>
      </c>
      <c r="J60" s="2" t="s">
        <v>151</v>
      </c>
      <c r="K60" s="2">
        <v>213</v>
      </c>
      <c r="L60" s="2" t="s">
        <v>248</v>
      </c>
      <c r="M60" s="2" t="s">
        <v>153</v>
      </c>
      <c r="N60" s="2" t="s">
        <v>154</v>
      </c>
      <c r="O60" s="2">
        <v>5</v>
      </c>
      <c r="P60" s="2">
        <v>20.5</v>
      </c>
      <c r="Q60" s="2">
        <v>0.55000000000000004</v>
      </c>
      <c r="R60" s="2">
        <v>2500000</v>
      </c>
      <c r="S60" s="2" t="s">
        <v>155</v>
      </c>
      <c r="T60" s="2" t="s">
        <v>170</v>
      </c>
      <c r="U60" s="2" t="s">
        <v>157</v>
      </c>
      <c r="V60" s="2">
        <v>1500000</v>
      </c>
      <c r="W60" s="2">
        <v>1280</v>
      </c>
      <c r="X60" s="2">
        <v>32</v>
      </c>
      <c r="Y60" s="2" t="s">
        <v>158</v>
      </c>
      <c r="Z60" s="2">
        <v>9.5000000000000001E-2</v>
      </c>
      <c r="AA60" s="17">
        <v>6.0065062739200004</v>
      </c>
      <c r="AB60" s="17">
        <v>20.651968</v>
      </c>
      <c r="AC60" s="17">
        <v>125.74726222690001</v>
      </c>
      <c r="AD60" s="17">
        <v>6.1536196966736397E-3</v>
      </c>
      <c r="AE60" s="17">
        <v>31.0205895025472</v>
      </c>
      <c r="AF60" s="17">
        <v>141.572155284812</v>
      </c>
      <c r="AG60" s="17">
        <v>5.6314700196683702</v>
      </c>
      <c r="AH60" s="17">
        <v>2.1467999999999998</v>
      </c>
      <c r="AI60" s="17">
        <v>782.71759549154694</v>
      </c>
      <c r="AJ60" s="17">
        <v>0.94599999999999995</v>
      </c>
      <c r="AK60" s="17">
        <v>0.31879999999999997</v>
      </c>
      <c r="AL60" s="17">
        <v>600651</v>
      </c>
      <c r="AM60" s="17">
        <v>293.80200000000002</v>
      </c>
      <c r="AN60" s="17">
        <v>7.1217800000000002</v>
      </c>
      <c r="AO60" s="17">
        <v>211497</v>
      </c>
      <c r="AP60" s="17">
        <v>295837</v>
      </c>
      <c r="AQ60" s="17">
        <v>287.06400000000002</v>
      </c>
      <c r="AR60" s="17">
        <v>1.3905400000000001</v>
      </c>
      <c r="AS60" s="17">
        <v>1022.11</v>
      </c>
      <c r="AT60" s="17">
        <v>342.40699999999998</v>
      </c>
      <c r="AU60" s="17">
        <v>6324.24</v>
      </c>
      <c r="AV60" s="17">
        <v>0</v>
      </c>
      <c r="AW60" s="17">
        <v>0</v>
      </c>
      <c r="AX60" s="17">
        <v>3548910</v>
      </c>
      <c r="AY60" s="17">
        <v>562.94100000000003</v>
      </c>
      <c r="AZ60" s="17">
        <v>21.9619</v>
      </c>
      <c r="BA60" s="17">
        <v>408354</v>
      </c>
      <c r="BB60" s="17">
        <v>569949</v>
      </c>
      <c r="BC60" s="17">
        <v>287.053</v>
      </c>
      <c r="BD60" s="17">
        <v>1.37948</v>
      </c>
      <c r="BE60" s="17">
        <v>1043.49</v>
      </c>
      <c r="BF60" s="17">
        <v>472.17899999999997</v>
      </c>
      <c r="BG60" s="17">
        <v>6486.51</v>
      </c>
      <c r="BH60" s="17">
        <v>253.81899999999999</v>
      </c>
      <c r="BI60" s="17">
        <v>0.53754826029959002</v>
      </c>
      <c r="BJ60" s="18">
        <v>13721900</v>
      </c>
      <c r="BK60" s="17">
        <v>863.27800000000002</v>
      </c>
      <c r="BL60" s="17">
        <v>55.374200000000002</v>
      </c>
      <c r="BM60" s="17">
        <v>645607</v>
      </c>
      <c r="BN60" s="17">
        <v>893410</v>
      </c>
      <c r="BO60" s="17">
        <v>287.048</v>
      </c>
      <c r="BP60" s="17">
        <v>1.3477600000000001</v>
      </c>
      <c r="BQ60" s="17">
        <v>1112.46</v>
      </c>
      <c r="BR60" s="17">
        <v>577.88800000000003</v>
      </c>
      <c r="BS60" s="17">
        <v>6558.06</v>
      </c>
      <c r="BT60" s="17">
        <v>0</v>
      </c>
      <c r="BU60" s="17">
        <v>0</v>
      </c>
      <c r="BV60" s="18">
        <v>14157200</v>
      </c>
      <c r="BW60" s="17">
        <v>870.26499999999999</v>
      </c>
      <c r="BX60" s="17">
        <v>56.6723</v>
      </c>
      <c r="BY60" s="17">
        <v>651388</v>
      </c>
      <c r="BZ60" s="17">
        <v>901196</v>
      </c>
      <c r="CA60" s="17">
        <v>287.04899999999998</v>
      </c>
      <c r="CB60" s="17">
        <v>1.3471500000000001</v>
      </c>
      <c r="CC60" s="17">
        <v>1113.92</v>
      </c>
      <c r="CD60" s="17">
        <v>580.08799999999997</v>
      </c>
      <c r="CE60" s="17">
        <v>6558.06</v>
      </c>
      <c r="CF60" s="17">
        <v>0</v>
      </c>
      <c r="CG60" s="17">
        <v>0</v>
      </c>
      <c r="CH60" s="17">
        <v>7565650</v>
      </c>
      <c r="CI60" s="17">
        <v>738.92700000000002</v>
      </c>
      <c r="CJ60" s="17">
        <v>35.668500000000002</v>
      </c>
      <c r="CK60" s="17">
        <v>544801</v>
      </c>
      <c r="CL60" s="17">
        <v>756911</v>
      </c>
      <c r="CM60" s="17">
        <v>287.05200000000002</v>
      </c>
      <c r="CN60" s="17">
        <v>1.36025</v>
      </c>
      <c r="CO60" s="17">
        <v>1083.8699999999999</v>
      </c>
      <c r="CP60" s="17">
        <v>537.18899999999996</v>
      </c>
      <c r="CQ60" s="17">
        <v>6558.06</v>
      </c>
      <c r="CR60" s="17">
        <v>537.18799999999999</v>
      </c>
      <c r="CS60" s="17">
        <v>0.99999813845778696</v>
      </c>
      <c r="CT60" s="17">
        <v>3578.57</v>
      </c>
      <c r="CU60" s="17">
        <v>89.009200000000007</v>
      </c>
      <c r="CV60" s="17">
        <v>0.14005500000000001</v>
      </c>
      <c r="CW60" s="17">
        <v>64074.400000000001</v>
      </c>
      <c r="CX60" s="17">
        <v>89625.5</v>
      </c>
      <c r="CY60" s="17">
        <v>287.06099999999998</v>
      </c>
      <c r="CZ60" s="17">
        <v>1.3905400000000001</v>
      </c>
      <c r="DA60" s="17">
        <v>1022.11</v>
      </c>
      <c r="DB60" s="17">
        <v>188.465</v>
      </c>
      <c r="DC60" s="17">
        <v>6558.06</v>
      </c>
      <c r="DD60" s="17">
        <v>1274.03</v>
      </c>
      <c r="DE60" s="17">
        <v>6.76</v>
      </c>
      <c r="DF60" s="19">
        <f t="shared" si="29"/>
        <v>29091851.454319905</v>
      </c>
      <c r="DG60" s="19">
        <f t="shared" si="30"/>
        <v>901201.72045000002</v>
      </c>
      <c r="DI60" s="2">
        <v>306</v>
      </c>
      <c r="DK60" s="2">
        <v>1674</v>
      </c>
      <c r="DL60" s="16">
        <f>DK60+AK60/1000*V60</f>
        <v>2152.1999999999998</v>
      </c>
      <c r="DM60" s="16">
        <f>DL60+AH60/1000*V60</f>
        <v>5372.4</v>
      </c>
      <c r="DU60" s="2">
        <v>5.9179945199999997</v>
      </c>
      <c r="DV60" s="2">
        <f t="shared" si="19"/>
        <v>0.24396443193180001</v>
      </c>
      <c r="DW60" s="2">
        <f t="shared" si="20"/>
        <v>112.82251041619601</v>
      </c>
      <c r="DX60" s="2">
        <f t="shared" si="21"/>
        <v>212.1832706583468</v>
      </c>
      <c r="DY60" s="2">
        <f t="shared" si="22"/>
        <v>1255.6994329917732</v>
      </c>
      <c r="DZ60" s="19">
        <f t="shared" si="23"/>
        <v>39166773.738996841</v>
      </c>
      <c r="EA60" s="2">
        <v>5.7739619199999996</v>
      </c>
      <c r="EB60" s="2">
        <f t="shared" si="24"/>
        <v>0.25851064227030002</v>
      </c>
      <c r="EC60" s="2">
        <f t="shared" si="25"/>
        <v>117.79404718474402</v>
      </c>
      <c r="ED60" s="2">
        <f t="shared" si="26"/>
        <v>216.80781457845353</v>
      </c>
      <c r="EE60" s="2">
        <f t="shared" si="27"/>
        <v>1251.8400653344115</v>
      </c>
      <c r="EF60" s="19">
        <f t="shared" si="28"/>
        <v>39644454.074958421</v>
      </c>
    </row>
    <row r="61" spans="1:136">
      <c r="A61" s="31">
        <v>59</v>
      </c>
      <c r="B61" s="2" t="s">
        <v>247</v>
      </c>
      <c r="C61" s="2">
        <v>250224</v>
      </c>
      <c r="D61" s="2" t="s">
        <v>174</v>
      </c>
      <c r="E61" s="2" t="s">
        <v>230</v>
      </c>
      <c r="F61" s="2">
        <v>6.76</v>
      </c>
      <c r="G61" s="2">
        <v>1031.4000000000001</v>
      </c>
      <c r="H61" s="2">
        <v>18.600000000000001</v>
      </c>
      <c r="I61" s="2">
        <v>21.4</v>
      </c>
      <c r="J61" s="2" t="s">
        <v>151</v>
      </c>
      <c r="K61" s="2">
        <v>210.4</v>
      </c>
      <c r="L61" s="2" t="s">
        <v>249</v>
      </c>
      <c r="M61" s="2" t="s">
        <v>153</v>
      </c>
      <c r="N61" s="2" t="s">
        <v>154</v>
      </c>
      <c r="O61" s="2">
        <v>5</v>
      </c>
      <c r="P61" s="2">
        <v>20.8</v>
      </c>
      <c r="Q61" s="2">
        <v>0.62</v>
      </c>
      <c r="R61" s="2">
        <v>2500000</v>
      </c>
      <c r="S61" s="2" t="s">
        <v>155</v>
      </c>
      <c r="T61" s="2" t="s">
        <v>170</v>
      </c>
      <c r="U61" s="2" t="s">
        <v>157</v>
      </c>
      <c r="V61" s="2">
        <v>1500000</v>
      </c>
      <c r="W61" s="2">
        <v>1280</v>
      </c>
      <c r="X61" s="2">
        <v>32</v>
      </c>
      <c r="Y61" s="2" t="s">
        <v>158</v>
      </c>
      <c r="Z61" s="2">
        <v>9.5000000000000001E-2</v>
      </c>
      <c r="AA61" s="17">
        <v>6.0105671785599997</v>
      </c>
      <c r="AB61" s="17">
        <v>20.898531999999999</v>
      </c>
      <c r="AC61" s="17">
        <v>126.06294072897801</v>
      </c>
      <c r="AD61" s="17">
        <v>1.2060644945714599E-2</v>
      </c>
      <c r="AE61" s="17">
        <v>29.814270576253801</v>
      </c>
      <c r="AF61" s="17">
        <v>141.87000045047299</v>
      </c>
      <c r="AG61" s="17">
        <v>5.5110426626142797</v>
      </c>
      <c r="AH61" s="17">
        <v>2.1659999999999999</v>
      </c>
      <c r="AI61" s="17">
        <v>781.73858661663496</v>
      </c>
      <c r="AJ61" s="17">
        <v>0.92959999999999998</v>
      </c>
      <c r="AK61" s="17">
        <v>0.31879999999999997</v>
      </c>
      <c r="AL61" s="17">
        <v>601057</v>
      </c>
      <c r="AM61" s="17">
        <v>294.04899999999998</v>
      </c>
      <c r="AN61" s="17">
        <v>7.1206199999999997</v>
      </c>
      <c r="AO61" s="17">
        <v>211675</v>
      </c>
      <c r="AP61" s="17">
        <v>296085</v>
      </c>
      <c r="AQ61" s="17">
        <v>287.06400000000002</v>
      </c>
      <c r="AR61" s="17">
        <v>1.3905400000000001</v>
      </c>
      <c r="AS61" s="17">
        <v>1022.11</v>
      </c>
      <c r="AT61" s="17">
        <v>342.55099999999999</v>
      </c>
      <c r="AU61" s="17">
        <v>6324.91</v>
      </c>
      <c r="AV61" s="17">
        <v>0</v>
      </c>
      <c r="AW61" s="17">
        <v>0</v>
      </c>
      <c r="AX61" s="17">
        <v>3539100</v>
      </c>
      <c r="AY61" s="17">
        <v>562.41899999999998</v>
      </c>
      <c r="AZ61" s="17">
        <v>21.921500000000002</v>
      </c>
      <c r="BA61" s="17">
        <v>407959</v>
      </c>
      <c r="BB61" s="17">
        <v>569403</v>
      </c>
      <c r="BC61" s="17">
        <v>287.053</v>
      </c>
      <c r="BD61" s="17">
        <v>1.37954</v>
      </c>
      <c r="BE61" s="17">
        <v>1043.3699999999999</v>
      </c>
      <c r="BF61" s="17">
        <v>471.97</v>
      </c>
      <c r="BG61" s="17">
        <v>6486.33</v>
      </c>
      <c r="BH61" s="17">
        <v>253.92699999999999</v>
      </c>
      <c r="BI61" s="17">
        <v>0.53801512808017404</v>
      </c>
      <c r="BJ61" s="18">
        <v>13659300</v>
      </c>
      <c r="BK61" s="17">
        <v>861.90800000000002</v>
      </c>
      <c r="BL61" s="17">
        <v>55.209200000000003</v>
      </c>
      <c r="BM61" s="17">
        <v>644475</v>
      </c>
      <c r="BN61" s="17">
        <v>891884</v>
      </c>
      <c r="BO61" s="17">
        <v>287.048</v>
      </c>
      <c r="BP61" s="17">
        <v>1.34788</v>
      </c>
      <c r="BQ61" s="17">
        <v>1112.17</v>
      </c>
      <c r="BR61" s="17">
        <v>577.45500000000004</v>
      </c>
      <c r="BS61" s="17">
        <v>6557.61</v>
      </c>
      <c r="BT61" s="17">
        <v>0</v>
      </c>
      <c r="BU61" s="17">
        <v>0</v>
      </c>
      <c r="BV61" s="18">
        <v>14187000</v>
      </c>
      <c r="BW61" s="17">
        <v>870.38300000000004</v>
      </c>
      <c r="BX61" s="17">
        <v>56.783799999999999</v>
      </c>
      <c r="BY61" s="17">
        <v>651486</v>
      </c>
      <c r="BZ61" s="17">
        <v>901328</v>
      </c>
      <c r="CA61" s="17">
        <v>287.04899999999998</v>
      </c>
      <c r="CB61" s="17">
        <v>1.34714</v>
      </c>
      <c r="CC61" s="17">
        <v>1113.95</v>
      </c>
      <c r="CD61" s="17">
        <v>580.12599999999998</v>
      </c>
      <c r="CE61" s="17">
        <v>6557.61</v>
      </c>
      <c r="CF61" s="17">
        <v>0</v>
      </c>
      <c r="CG61" s="17">
        <v>0</v>
      </c>
      <c r="CH61" s="17">
        <v>7581610</v>
      </c>
      <c r="CI61" s="17">
        <v>739.03099999999995</v>
      </c>
      <c r="CJ61" s="17">
        <v>35.738700000000001</v>
      </c>
      <c r="CK61" s="17">
        <v>544883</v>
      </c>
      <c r="CL61" s="17">
        <v>757023</v>
      </c>
      <c r="CM61" s="17">
        <v>287.05200000000002</v>
      </c>
      <c r="CN61" s="17">
        <v>1.3602399999999999</v>
      </c>
      <c r="CO61" s="17">
        <v>1083.9000000000001</v>
      </c>
      <c r="CP61" s="17">
        <v>537.22400000000005</v>
      </c>
      <c r="CQ61" s="17">
        <v>6557.61</v>
      </c>
      <c r="CR61" s="17">
        <v>537.22400000000005</v>
      </c>
      <c r="CS61" s="17">
        <v>1</v>
      </c>
      <c r="CT61" s="17">
        <v>3586.09</v>
      </c>
      <c r="CU61" s="17">
        <v>89.021600000000007</v>
      </c>
      <c r="CV61" s="17">
        <v>0.14033000000000001</v>
      </c>
      <c r="CW61" s="17">
        <v>64083.3</v>
      </c>
      <c r="CX61" s="17">
        <v>89638</v>
      </c>
      <c r="CY61" s="17">
        <v>287.06099999999998</v>
      </c>
      <c r="CZ61" s="17">
        <v>1.3905400000000001</v>
      </c>
      <c r="DA61" s="17">
        <v>1022.11</v>
      </c>
      <c r="DB61" s="17">
        <v>188.47900000000001</v>
      </c>
      <c r="DC61" s="17">
        <v>6557.61</v>
      </c>
      <c r="DD61" s="17">
        <v>1274.1199999999999</v>
      </c>
      <c r="DE61" s="17">
        <v>6.7600199999999999</v>
      </c>
      <c r="DF61" s="19">
        <f t="shared" si="29"/>
        <v>29146749.218108762</v>
      </c>
      <c r="DG61" s="19">
        <f t="shared" si="30"/>
        <v>901328.88719999988</v>
      </c>
      <c r="DL61" s="16"/>
      <c r="DM61" s="16"/>
      <c r="DU61" s="2">
        <v>5.9179945199999997</v>
      </c>
      <c r="DV61" s="2">
        <f t="shared" si="19"/>
        <v>0.24444345959079999</v>
      </c>
      <c r="DW61" s="2">
        <f t="shared" si="20"/>
        <v>112.83822788280801</v>
      </c>
      <c r="DX61" s="2">
        <f t="shared" si="21"/>
        <v>212.19903255466292</v>
      </c>
      <c r="DY61" s="2">
        <f t="shared" si="22"/>
        <v>1255.7927118077966</v>
      </c>
      <c r="DZ61" s="19">
        <f t="shared" si="23"/>
        <v>39241149.064341955</v>
      </c>
      <c r="EA61" s="2">
        <v>5.7739619199999996</v>
      </c>
      <c r="EB61" s="2">
        <f t="shared" si="24"/>
        <v>0.25901823162179999</v>
      </c>
      <c r="EC61" s="2">
        <f t="shared" si="25"/>
        <v>117.81045724331202</v>
      </c>
      <c r="ED61" s="2">
        <f t="shared" si="26"/>
        <v>216.82392000600825</v>
      </c>
      <c r="EE61" s="2">
        <f t="shared" si="27"/>
        <v>1251.9330574598177</v>
      </c>
      <c r="EF61" s="19">
        <f t="shared" si="28"/>
        <v>39719796.111178346</v>
      </c>
    </row>
    <row r="62" spans="1:136" s="93" customFormat="1">
      <c r="A62" s="92">
        <v>60</v>
      </c>
      <c r="B62" s="93" t="s">
        <v>247</v>
      </c>
      <c r="C62" s="93">
        <v>250228</v>
      </c>
      <c r="D62" s="93" t="s">
        <v>149</v>
      </c>
      <c r="E62" s="93" t="s">
        <v>250</v>
      </c>
      <c r="F62" s="93">
        <v>6.76</v>
      </c>
      <c r="G62" s="93">
        <v>1020.4</v>
      </c>
      <c r="H62" s="93">
        <v>19.399999999999999</v>
      </c>
      <c r="I62" s="93">
        <v>34.799999999999997</v>
      </c>
      <c r="J62" s="93" t="s">
        <v>151</v>
      </c>
      <c r="K62" s="93">
        <v>224.4</v>
      </c>
      <c r="L62" s="93" t="s">
        <v>227</v>
      </c>
      <c r="M62" s="93" t="s">
        <v>153</v>
      </c>
      <c r="N62" s="93" t="s">
        <v>154</v>
      </c>
      <c r="O62" s="93">
        <v>-0.4</v>
      </c>
      <c r="P62" s="93">
        <v>22.3</v>
      </c>
      <c r="Q62" s="93">
        <v>0.59</v>
      </c>
      <c r="R62" s="93">
        <v>2500000</v>
      </c>
      <c r="S62" s="93" t="s">
        <v>155</v>
      </c>
      <c r="T62" s="93" t="s">
        <v>228</v>
      </c>
      <c r="U62" s="93" t="s">
        <v>157</v>
      </c>
      <c r="V62" s="93">
        <v>1500000</v>
      </c>
      <c r="W62" s="93">
        <v>1280</v>
      </c>
      <c r="X62" s="93">
        <v>32</v>
      </c>
      <c r="Y62" s="93" t="s">
        <v>158</v>
      </c>
      <c r="Z62" s="93">
        <v>9.5000000000000001E-2</v>
      </c>
      <c r="AA62" s="94">
        <v>0.59508466048000097</v>
      </c>
      <c r="AB62" s="94">
        <v>22.429924</v>
      </c>
      <c r="AC62" s="94">
        <v>63.391026876112797</v>
      </c>
      <c r="AD62" s="94">
        <v>7.7993385475214896E-4</v>
      </c>
      <c r="AE62" s="94">
        <v>27.065239849068099</v>
      </c>
      <c r="AF62" s="94">
        <v>37.943068586104403</v>
      </c>
      <c r="AG62" s="94">
        <v>1.1600951156388899</v>
      </c>
      <c r="AH62" s="94">
        <v>2.4883999999999999</v>
      </c>
      <c r="AI62" s="94">
        <v>1045.1505016722399</v>
      </c>
      <c r="AJ62" s="94">
        <v>-7.7271999999999998</v>
      </c>
      <c r="AK62" s="94">
        <v>0.31440000000000001</v>
      </c>
      <c r="AL62" s="95">
        <v>59508.5</v>
      </c>
      <c r="AM62" s="95">
        <v>295.58</v>
      </c>
      <c r="AN62" s="95">
        <v>0.70136399999999999</v>
      </c>
      <c r="AO62" s="95">
        <v>212777</v>
      </c>
      <c r="AP62" s="95">
        <v>297624</v>
      </c>
      <c r="AQ62" s="95">
        <v>287.05200000000002</v>
      </c>
      <c r="AR62" s="95">
        <v>1.39052</v>
      </c>
      <c r="AS62" s="95">
        <v>1022.1</v>
      </c>
      <c r="AT62" s="95">
        <v>343.44099999999997</v>
      </c>
      <c r="AU62" s="95">
        <v>6993.96</v>
      </c>
      <c r="AV62" s="95">
        <v>0</v>
      </c>
      <c r="AW62" s="95">
        <v>0</v>
      </c>
      <c r="AX62" s="95">
        <v>634114</v>
      </c>
      <c r="AY62" s="95">
        <v>787.37599999999998</v>
      </c>
      <c r="AZ62" s="95">
        <v>2.8056000000000001</v>
      </c>
      <c r="BA62" s="95">
        <v>583644</v>
      </c>
      <c r="BB62" s="95">
        <v>809662</v>
      </c>
      <c r="BC62" s="95">
        <v>287.05099999999999</v>
      </c>
      <c r="BD62" s="95">
        <v>1.3550800000000001</v>
      </c>
      <c r="BE62" s="95">
        <v>1095.46</v>
      </c>
      <c r="BF62" s="95">
        <v>553.43299999999999</v>
      </c>
      <c r="BG62" s="95">
        <v>7338.96</v>
      </c>
      <c r="BH62" s="95">
        <v>261.274</v>
      </c>
      <c r="BI62" s="95">
        <v>0.47209689339088901</v>
      </c>
      <c r="BJ62" s="95">
        <v>3209900</v>
      </c>
      <c r="BK62" s="95">
        <v>1318.4</v>
      </c>
      <c r="BL62" s="95">
        <v>8.4817900000000002</v>
      </c>
      <c r="BM62" s="95">
        <v>1042100</v>
      </c>
      <c r="BN62" s="95">
        <v>1420550</v>
      </c>
      <c r="BO62" s="95">
        <v>287.04899999999998</v>
      </c>
      <c r="BP62" s="95">
        <v>1.3178399999999999</v>
      </c>
      <c r="BQ62" s="95">
        <v>1190.18</v>
      </c>
      <c r="BR62" s="95">
        <v>705.33500000000004</v>
      </c>
      <c r="BS62" s="95">
        <v>7464.31</v>
      </c>
      <c r="BT62" s="95">
        <v>0</v>
      </c>
      <c r="BU62" s="95">
        <v>0</v>
      </c>
      <c r="BV62" s="95">
        <v>3794310</v>
      </c>
      <c r="BW62" s="95">
        <v>1371.96</v>
      </c>
      <c r="BX62" s="95">
        <v>9.6345799999999997</v>
      </c>
      <c r="BY62" s="95">
        <v>1091250</v>
      </c>
      <c r="BZ62" s="95">
        <v>1485070</v>
      </c>
      <c r="CA62" s="95">
        <v>287.05</v>
      </c>
      <c r="CB62" s="95">
        <v>1.31552</v>
      </c>
      <c r="CC62" s="95">
        <v>1196.82</v>
      </c>
      <c r="CD62" s="95">
        <v>718.65099999999995</v>
      </c>
      <c r="CE62" s="95">
        <v>7464.31</v>
      </c>
      <c r="CF62" s="95">
        <v>0</v>
      </c>
      <c r="CG62" s="95">
        <v>0</v>
      </c>
      <c r="CH62" s="95">
        <v>2053800</v>
      </c>
      <c r="CI62" s="95">
        <v>1183.57</v>
      </c>
      <c r="CJ62" s="95">
        <v>6.0450999999999997</v>
      </c>
      <c r="CK62" s="95">
        <v>920611</v>
      </c>
      <c r="CL62" s="95">
        <v>1260360</v>
      </c>
      <c r="CM62" s="95">
        <v>287.05399999999997</v>
      </c>
      <c r="CN62" s="95">
        <v>1.3245199999999999</v>
      </c>
      <c r="CO62" s="95">
        <v>1171.6199999999999</v>
      </c>
      <c r="CP62" s="95">
        <v>670.39</v>
      </c>
      <c r="CQ62" s="95">
        <v>7464.31</v>
      </c>
      <c r="CR62" s="95">
        <v>670.38900000000001</v>
      </c>
      <c r="CS62" s="95">
        <v>0.99999850833097204</v>
      </c>
      <c r="CT62" s="95">
        <v>919.54700000000003</v>
      </c>
      <c r="CU62" s="95">
        <v>146.65799999999999</v>
      </c>
      <c r="CV62" s="95">
        <v>2.1840600000000002E-2</v>
      </c>
      <c r="CW62" s="95">
        <v>105574</v>
      </c>
      <c r="CX62" s="95">
        <v>147676</v>
      </c>
      <c r="CY62" s="95">
        <v>287.08</v>
      </c>
      <c r="CZ62" s="95">
        <v>1.39056</v>
      </c>
      <c r="DA62" s="95">
        <v>1022.12</v>
      </c>
      <c r="DB62" s="95">
        <v>241.917</v>
      </c>
      <c r="DC62" s="95">
        <v>7464.31</v>
      </c>
      <c r="DD62" s="95">
        <v>1635.48</v>
      </c>
      <c r="DE62" s="95">
        <v>6.7604699999999998</v>
      </c>
      <c r="DF62" s="96">
        <f t="shared" si="29"/>
        <v>3547237.4384260895</v>
      </c>
      <c r="DG62" s="96">
        <f t="shared" si="30"/>
        <v>1485073.4151999999</v>
      </c>
      <c r="DH62" s="97"/>
      <c r="DI62" s="93">
        <v>311</v>
      </c>
      <c r="DJ62" s="93" t="s">
        <v>168</v>
      </c>
      <c r="DK62" s="93">
        <v>1190</v>
      </c>
      <c r="DL62" s="98">
        <f>DK62+AK62/1000*V62</f>
        <v>1661.6</v>
      </c>
      <c r="DM62" s="98">
        <f>DL62+AH62/1000*V62</f>
        <v>5394.2</v>
      </c>
      <c r="DU62" s="2">
        <v>5.9179945199999997</v>
      </c>
      <c r="DV62" s="2">
        <f t="shared" si="19"/>
        <v>3.8044550869656003E-2</v>
      </c>
      <c r="DW62" s="2">
        <f t="shared" si="20"/>
        <v>185.89453374054</v>
      </c>
      <c r="DX62" s="2">
        <f t="shared" si="21"/>
        <v>272.36219079327878</v>
      </c>
      <c r="DY62" s="2">
        <f t="shared" si="22"/>
        <v>1611.8379525698183</v>
      </c>
      <c r="DZ62" s="19">
        <f t="shared" si="23"/>
        <v>4917128.6837276882</v>
      </c>
      <c r="EA62" s="2">
        <v>5.7739619199999996</v>
      </c>
      <c r="EB62" s="2">
        <f t="shared" si="24"/>
        <v>4.0312930874076003E-2</v>
      </c>
      <c r="EC62" s="2">
        <f t="shared" si="25"/>
        <v>194.08599753755999</v>
      </c>
      <c r="ED62" s="2">
        <f t="shared" si="26"/>
        <v>278.29833698233489</v>
      </c>
      <c r="EE62" s="2">
        <f t="shared" si="27"/>
        <v>1606.8840001353292</v>
      </c>
      <c r="EF62" s="19">
        <f t="shared" si="28"/>
        <v>5003286.038893342</v>
      </c>
    </row>
    <row r="63" spans="1:136" s="93" customFormat="1">
      <c r="A63" s="92">
        <v>61</v>
      </c>
      <c r="B63" s="93" t="s">
        <v>247</v>
      </c>
      <c r="C63" s="93">
        <v>250228</v>
      </c>
      <c r="D63" s="93" t="s">
        <v>149</v>
      </c>
      <c r="E63" s="93" t="s">
        <v>251</v>
      </c>
      <c r="F63" s="93">
        <v>6.76</v>
      </c>
      <c r="G63" s="93">
        <v>1020.3</v>
      </c>
      <c r="H63" s="93">
        <v>19.399999999999999</v>
      </c>
      <c r="I63" s="93">
        <v>35.9</v>
      </c>
      <c r="J63" s="93" t="s">
        <v>151</v>
      </c>
      <c r="K63" s="93">
        <v>210.1</v>
      </c>
      <c r="L63" s="93" t="s">
        <v>239</v>
      </c>
      <c r="M63" s="93" t="s">
        <v>153</v>
      </c>
      <c r="N63" s="93" t="s">
        <v>154</v>
      </c>
      <c r="O63" s="93">
        <v>-0.1</v>
      </c>
      <c r="P63" s="93">
        <v>21.7</v>
      </c>
      <c r="Q63" s="93">
        <v>0.54</v>
      </c>
      <c r="R63" s="93">
        <v>2500000</v>
      </c>
      <c r="S63" s="93" t="s">
        <v>155</v>
      </c>
      <c r="T63" s="93" t="s">
        <v>228</v>
      </c>
      <c r="U63" s="93" t="s">
        <v>157</v>
      </c>
      <c r="V63" s="93">
        <v>1500000</v>
      </c>
      <c r="W63" s="93">
        <v>1280</v>
      </c>
      <c r="X63" s="93">
        <v>32</v>
      </c>
      <c r="Y63" s="93" t="s">
        <v>158</v>
      </c>
      <c r="Z63" s="93">
        <v>9.5000000000000001E-2</v>
      </c>
      <c r="AA63" s="95">
        <v>0.89231824191999998</v>
      </c>
      <c r="AB63" s="95">
        <v>21.857764</v>
      </c>
      <c r="AC63" s="95">
        <v>91.192924462413401</v>
      </c>
      <c r="AD63" s="95">
        <v>2.45924938266718E-2</v>
      </c>
      <c r="AE63" s="95">
        <v>29.054780423090001</v>
      </c>
      <c r="AF63" s="95">
        <v>52.853014493715001</v>
      </c>
      <c r="AG63" s="95">
        <v>1.59048134024438</v>
      </c>
      <c r="AH63" s="95">
        <v>2.2212000000000001</v>
      </c>
      <c r="AI63" s="95">
        <v>1052.1885521885499</v>
      </c>
      <c r="AJ63" s="95">
        <v>-7.7312000000000003</v>
      </c>
      <c r="AK63" s="95">
        <v>0.4108</v>
      </c>
      <c r="AL63" s="95">
        <v>89231.8</v>
      </c>
      <c r="AM63" s="95">
        <v>295.00799999999998</v>
      </c>
      <c r="AN63" s="95">
        <v>1.0537099999999999</v>
      </c>
      <c r="AO63" s="95">
        <v>212365</v>
      </c>
      <c r="AP63" s="95">
        <v>297049</v>
      </c>
      <c r="AQ63" s="95">
        <v>287.05599999999998</v>
      </c>
      <c r="AR63" s="95">
        <v>1.39053</v>
      </c>
      <c r="AS63" s="95">
        <v>1022.1</v>
      </c>
      <c r="AT63" s="95">
        <v>343.108</v>
      </c>
      <c r="AU63" s="95">
        <v>6875.6</v>
      </c>
      <c r="AV63" s="95">
        <v>0</v>
      </c>
      <c r="AW63" s="95">
        <v>0</v>
      </c>
      <c r="AX63" s="95">
        <v>965905</v>
      </c>
      <c r="AY63" s="95">
        <v>793.553</v>
      </c>
      <c r="AZ63" s="95">
        <v>4.2403300000000002</v>
      </c>
      <c r="BA63" s="95">
        <v>588627</v>
      </c>
      <c r="BB63" s="95">
        <v>816417</v>
      </c>
      <c r="BC63" s="95">
        <v>287.05099999999999</v>
      </c>
      <c r="BD63" s="95">
        <v>1.35443</v>
      </c>
      <c r="BE63" s="95">
        <v>1096.94</v>
      </c>
      <c r="BF63" s="95">
        <v>555.46</v>
      </c>
      <c r="BG63" s="95">
        <v>7226.73</v>
      </c>
      <c r="BH63" s="95">
        <v>261.46499999999997</v>
      </c>
      <c r="BI63" s="95">
        <v>0.47071796348972</v>
      </c>
      <c r="BJ63" s="36">
        <v>4919240</v>
      </c>
      <c r="BK63" s="95">
        <v>1331.39</v>
      </c>
      <c r="BL63" s="95">
        <v>12.8718</v>
      </c>
      <c r="BM63" s="95">
        <v>1053970</v>
      </c>
      <c r="BN63" s="95">
        <v>1436140</v>
      </c>
      <c r="BO63" s="95">
        <v>287.048</v>
      </c>
      <c r="BP63" s="95">
        <v>1.3172699999999999</v>
      </c>
      <c r="BQ63" s="95">
        <v>1191.79</v>
      </c>
      <c r="BR63" s="95">
        <v>708.596</v>
      </c>
      <c r="BS63" s="95">
        <v>7353.56</v>
      </c>
      <c r="BT63" s="95">
        <v>0</v>
      </c>
      <c r="BU63" s="95">
        <v>0</v>
      </c>
      <c r="BV63" s="95">
        <v>5285290</v>
      </c>
      <c r="BW63" s="95">
        <v>1354.37</v>
      </c>
      <c r="BX63" s="95">
        <v>13.595000000000001</v>
      </c>
      <c r="BY63" s="95">
        <v>1075040</v>
      </c>
      <c r="BZ63" s="95">
        <v>1463810</v>
      </c>
      <c r="CA63" s="95">
        <v>287.04700000000003</v>
      </c>
      <c r="CB63" s="95">
        <v>1.3162799999999999</v>
      </c>
      <c r="CC63" s="95">
        <v>1194.6300000000001</v>
      </c>
      <c r="CD63" s="95">
        <v>714.31299999999999</v>
      </c>
      <c r="CE63" s="95">
        <v>7353.56</v>
      </c>
      <c r="CF63" s="95">
        <v>0</v>
      </c>
      <c r="CG63" s="95">
        <v>0</v>
      </c>
      <c r="CH63" s="95">
        <v>2860100</v>
      </c>
      <c r="CI63" s="95">
        <v>1167.8599999999999</v>
      </c>
      <c r="CJ63" s="95">
        <v>8.5316700000000001</v>
      </c>
      <c r="CK63" s="95">
        <v>906678</v>
      </c>
      <c r="CL63" s="95">
        <v>1241910</v>
      </c>
      <c r="CM63" s="95">
        <v>287.05</v>
      </c>
      <c r="CN63" s="95">
        <v>1.3253600000000001</v>
      </c>
      <c r="CO63" s="95">
        <v>1169.3</v>
      </c>
      <c r="CP63" s="95">
        <v>666.17499999999995</v>
      </c>
      <c r="CQ63" s="95">
        <v>7353.56</v>
      </c>
      <c r="CR63" s="95">
        <v>666.17399999999998</v>
      </c>
      <c r="CS63" s="95">
        <v>0.99999849889293302</v>
      </c>
      <c r="CT63" s="95">
        <v>1300.53</v>
      </c>
      <c r="CU63" s="95">
        <v>144.56399999999999</v>
      </c>
      <c r="CV63" s="95">
        <v>3.1343700000000002E-2</v>
      </c>
      <c r="CW63" s="95">
        <v>104066</v>
      </c>
      <c r="CX63" s="95">
        <v>145559</v>
      </c>
      <c r="CY63" s="95">
        <v>287.01799999999997</v>
      </c>
      <c r="CZ63" s="95">
        <v>1.3904799999999999</v>
      </c>
      <c r="DA63" s="95">
        <v>1022.06</v>
      </c>
      <c r="DB63" s="95">
        <v>240.184</v>
      </c>
      <c r="DC63" s="95">
        <v>7353.56</v>
      </c>
      <c r="DD63" s="95">
        <v>1623.73</v>
      </c>
      <c r="DE63" s="95">
        <v>6.7603400000000002</v>
      </c>
      <c r="DF63" s="96">
        <f t="shared" si="29"/>
        <v>5122346.8401012067</v>
      </c>
      <c r="DG63" s="96">
        <f t="shared" si="30"/>
        <v>1463808.55645</v>
      </c>
      <c r="DH63" s="97"/>
      <c r="DI63" s="93">
        <v>312</v>
      </c>
      <c r="DJ63" s="93" t="s">
        <v>168</v>
      </c>
      <c r="DK63" s="93">
        <v>1240</v>
      </c>
      <c r="DL63" s="98">
        <f>DK63+AK63/1000*V63</f>
        <v>1856.2</v>
      </c>
      <c r="DM63" s="98">
        <f>DL63+AH63/1000*V63</f>
        <v>5188</v>
      </c>
      <c r="DU63" s="2">
        <v>5.9179945199999997</v>
      </c>
      <c r="DV63" s="2">
        <f t="shared" si="19"/>
        <v>5.4598179037812E-2</v>
      </c>
      <c r="DW63" s="2">
        <f t="shared" si="20"/>
        <v>183.24030994332</v>
      </c>
      <c r="DX63" s="2">
        <f t="shared" si="21"/>
        <v>270.41109319929092</v>
      </c>
      <c r="DY63" s="2">
        <f t="shared" si="22"/>
        <v>1600.2913677006129</v>
      </c>
      <c r="DZ63" s="19">
        <f t="shared" si="23"/>
        <v>7094851.7709895829</v>
      </c>
      <c r="EA63" s="2">
        <v>5.7739619199999996</v>
      </c>
      <c r="EB63" s="2">
        <f t="shared" si="24"/>
        <v>5.7853557660402004E-2</v>
      </c>
      <c r="EC63" s="2">
        <f t="shared" si="25"/>
        <v>191.31481506648001</v>
      </c>
      <c r="ED63" s="2">
        <f t="shared" si="26"/>
        <v>276.30471512859833</v>
      </c>
      <c r="EE63" s="2">
        <f t="shared" si="27"/>
        <v>1595.3729034689745</v>
      </c>
      <c r="EF63" s="19">
        <f t="shared" si="28"/>
        <v>7218122.8938357504</v>
      </c>
    </row>
    <row r="64" spans="1:136" s="93" customFormat="1">
      <c r="A64" s="92">
        <v>62</v>
      </c>
      <c r="B64" s="93" t="s">
        <v>247</v>
      </c>
      <c r="C64" s="93">
        <v>250228</v>
      </c>
      <c r="D64" s="93" t="s">
        <v>149</v>
      </c>
      <c r="E64" s="93" t="s">
        <v>252</v>
      </c>
      <c r="F64" s="93">
        <v>6.76</v>
      </c>
      <c r="G64" s="93">
        <v>1020.4</v>
      </c>
      <c r="H64" s="93">
        <v>19.399999999999999</v>
      </c>
      <c r="I64" s="93">
        <v>35.799999999999997</v>
      </c>
      <c r="J64" s="93" t="s">
        <v>151</v>
      </c>
      <c r="K64" s="93">
        <v>196.2</v>
      </c>
      <c r="L64" s="93" t="s">
        <v>240</v>
      </c>
      <c r="M64" s="93" t="s">
        <v>153</v>
      </c>
      <c r="N64" s="93" t="s">
        <v>154</v>
      </c>
      <c r="O64" s="93">
        <v>-0.6</v>
      </c>
      <c r="P64" s="93">
        <v>21.4</v>
      </c>
      <c r="Q64" s="93">
        <v>0.52</v>
      </c>
      <c r="R64" s="93">
        <v>2500000</v>
      </c>
      <c r="S64" s="93" t="s">
        <v>155</v>
      </c>
      <c r="T64" s="93" t="s">
        <v>228</v>
      </c>
      <c r="U64" s="93" t="s">
        <v>157</v>
      </c>
      <c r="V64" s="93">
        <v>1500000</v>
      </c>
      <c r="W64" s="93">
        <v>1280</v>
      </c>
      <c r="X64" s="93">
        <v>32</v>
      </c>
      <c r="Y64" s="93" t="s">
        <v>158</v>
      </c>
      <c r="Z64" s="93">
        <v>9.5000000000000001E-2</v>
      </c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36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6" t="e">
        <f t="shared" si="29"/>
        <v>#DIV/0!</v>
      </c>
      <c r="DG64" s="96">
        <f t="shared" si="30"/>
        <v>0</v>
      </c>
      <c r="DH64" s="97"/>
      <c r="DL64" s="98">
        <f>DK64+AK64/1000*V64</f>
        <v>0</v>
      </c>
      <c r="DM64" s="98">
        <f>DL64+AH64/1000*V64</f>
        <v>0</v>
      </c>
      <c r="DU64" s="2">
        <v>5.9179945199999997</v>
      </c>
      <c r="DV64" s="2">
        <f t="shared" si="19"/>
        <v>0</v>
      </c>
      <c r="DW64" s="2">
        <f t="shared" si="20"/>
        <v>0</v>
      </c>
      <c r="DX64" s="2">
        <f t="shared" si="21"/>
        <v>0</v>
      </c>
      <c r="DY64" s="2">
        <f t="shared" si="22"/>
        <v>0</v>
      </c>
      <c r="DZ64" s="19" t="e">
        <f t="shared" si="23"/>
        <v>#DIV/0!</v>
      </c>
      <c r="EA64" s="2">
        <v>5.7739619199999996</v>
      </c>
      <c r="EB64" s="2">
        <f t="shared" si="24"/>
        <v>0</v>
      </c>
      <c r="EC64" s="2">
        <f t="shared" si="25"/>
        <v>0</v>
      </c>
      <c r="ED64" s="2">
        <f t="shared" si="26"/>
        <v>0</v>
      </c>
      <c r="EE64" s="2">
        <f t="shared" si="27"/>
        <v>0</v>
      </c>
      <c r="EF64" s="19" t="e">
        <f t="shared" si="28"/>
        <v>#DIV/0!</v>
      </c>
    </row>
    <row r="65" spans="1:136" s="93" customFormat="1">
      <c r="A65" s="92">
        <v>63</v>
      </c>
      <c r="B65" s="93" t="s">
        <v>247</v>
      </c>
      <c r="C65" s="93">
        <v>250228</v>
      </c>
      <c r="D65" s="93" t="s">
        <v>149</v>
      </c>
      <c r="E65" s="93" t="s">
        <v>121</v>
      </c>
      <c r="F65" s="93">
        <v>6.76</v>
      </c>
      <c r="G65" s="93">
        <v>1019.8</v>
      </c>
      <c r="H65" s="93">
        <v>19</v>
      </c>
      <c r="I65" s="93">
        <v>36.1</v>
      </c>
      <c r="J65" s="93" t="s">
        <v>151</v>
      </c>
      <c r="K65" s="93">
        <v>217.8</v>
      </c>
      <c r="L65" s="93" t="s">
        <v>253</v>
      </c>
      <c r="M65" s="93" t="s">
        <v>153</v>
      </c>
      <c r="N65" s="93" t="s">
        <v>154</v>
      </c>
      <c r="O65" s="93">
        <v>0.2</v>
      </c>
      <c r="P65" s="93">
        <v>21.4</v>
      </c>
      <c r="Q65" s="93">
        <v>0.51</v>
      </c>
      <c r="R65" s="93">
        <v>2500000</v>
      </c>
      <c r="S65" s="93" t="s">
        <v>155</v>
      </c>
      <c r="T65" s="93" t="s">
        <v>228</v>
      </c>
      <c r="U65" s="93" t="s">
        <v>157</v>
      </c>
      <c r="V65" s="93">
        <v>1500000</v>
      </c>
      <c r="W65" s="93">
        <v>1280</v>
      </c>
      <c r="X65" s="93">
        <v>32</v>
      </c>
      <c r="Y65" s="93" t="s">
        <v>158</v>
      </c>
      <c r="Z65" s="93">
        <v>9.5000000000000001E-2</v>
      </c>
      <c r="AA65" s="95">
        <v>1.1978188220799999</v>
      </c>
      <c r="AB65" s="95">
        <v>21.530871999999999</v>
      </c>
      <c r="AC65" s="95">
        <v>121.629729156441</v>
      </c>
      <c r="AD65" s="95">
        <v>1.02586308977126E-2</v>
      </c>
      <c r="AE65" s="95">
        <v>30.7842567182173</v>
      </c>
      <c r="AF65" s="95">
        <v>89.200637610221506</v>
      </c>
      <c r="AG65" s="95">
        <v>2.6802194470049998</v>
      </c>
      <c r="AH65" s="95">
        <v>2.7907999999999999</v>
      </c>
      <c r="AI65" s="95">
        <v>1119.0689346463701</v>
      </c>
      <c r="AJ65" s="95">
        <v>-7.4984000000000002</v>
      </c>
      <c r="AK65" s="95">
        <v>0.4108</v>
      </c>
      <c r="AL65" s="95">
        <v>119782</v>
      </c>
      <c r="AM65" s="95">
        <v>294.68099999999998</v>
      </c>
      <c r="AN65" s="95">
        <v>1.41604</v>
      </c>
      <c r="AO65" s="95">
        <v>212130</v>
      </c>
      <c r="AP65" s="95">
        <v>296720</v>
      </c>
      <c r="AQ65" s="95">
        <v>287.05500000000001</v>
      </c>
      <c r="AR65" s="95">
        <v>1.39053</v>
      </c>
      <c r="AS65" s="95">
        <v>1022.1</v>
      </c>
      <c r="AT65" s="95">
        <v>342.91699999999997</v>
      </c>
      <c r="AU65" s="95">
        <v>6790</v>
      </c>
      <c r="AV65" s="95">
        <v>0</v>
      </c>
      <c r="AW65" s="95">
        <v>0</v>
      </c>
      <c r="AX65" s="95">
        <v>1473200</v>
      </c>
      <c r="AY65" s="95">
        <v>858.21600000000001</v>
      </c>
      <c r="AZ65" s="95">
        <v>5.9800700000000004</v>
      </c>
      <c r="BA65" s="95">
        <v>641417</v>
      </c>
      <c r="BB65" s="95">
        <v>887768</v>
      </c>
      <c r="BC65" s="95">
        <v>287.05</v>
      </c>
      <c r="BD65" s="95">
        <v>1.3482099999999999</v>
      </c>
      <c r="BE65" s="95">
        <v>1111.4000000000001</v>
      </c>
      <c r="BF65" s="95">
        <v>576.28399999999999</v>
      </c>
      <c r="BG65" s="95">
        <v>7192.07</v>
      </c>
      <c r="BH65" s="95">
        <v>264.98700000000002</v>
      </c>
      <c r="BI65" s="95">
        <v>0.45982000000000001</v>
      </c>
      <c r="BJ65" s="36">
        <v>7873870</v>
      </c>
      <c r="BK65" s="95">
        <v>1461.07</v>
      </c>
      <c r="BL65" s="95">
        <v>18.7746</v>
      </c>
      <c r="BM65" s="95">
        <v>1174010</v>
      </c>
      <c r="BN65" s="95">
        <v>1593400</v>
      </c>
      <c r="BO65" s="95">
        <v>287.04199999999997</v>
      </c>
      <c r="BP65" s="95">
        <v>1.31213</v>
      </c>
      <c r="BQ65" s="95">
        <v>1206.6600000000001</v>
      </c>
      <c r="BR65" s="95">
        <v>740.21</v>
      </c>
      <c r="BS65" s="95">
        <v>7331.25</v>
      </c>
      <c r="BT65" s="95">
        <v>0</v>
      </c>
      <c r="BU65" s="95">
        <v>0</v>
      </c>
      <c r="BV65" s="95">
        <v>8920060</v>
      </c>
      <c r="BW65" s="95">
        <v>1504.33</v>
      </c>
      <c r="BX65" s="95">
        <v>20.658000000000001</v>
      </c>
      <c r="BY65" s="95">
        <v>1214690</v>
      </c>
      <c r="BZ65" s="95">
        <v>1646490</v>
      </c>
      <c r="CA65" s="95">
        <v>287.036</v>
      </c>
      <c r="CB65" s="95">
        <v>1.3105899999999999</v>
      </c>
      <c r="CC65" s="95">
        <v>1211.21</v>
      </c>
      <c r="CD65" s="95">
        <v>750.40200000000004</v>
      </c>
      <c r="CE65" s="95">
        <v>7331.25</v>
      </c>
      <c r="CF65" s="95">
        <v>0</v>
      </c>
      <c r="CG65" s="95">
        <v>0</v>
      </c>
      <c r="CH65" s="95">
        <v>4840570</v>
      </c>
      <c r="CI65" s="95">
        <v>1301.81</v>
      </c>
      <c r="CJ65" s="95">
        <v>12.9537</v>
      </c>
      <c r="CK65" s="95">
        <v>1027010</v>
      </c>
      <c r="CL65" s="95">
        <v>1400690</v>
      </c>
      <c r="CM65" s="95">
        <v>287.048</v>
      </c>
      <c r="CN65" s="95">
        <v>1.3185500000000001</v>
      </c>
      <c r="CO65" s="95">
        <v>1188.1500000000001</v>
      </c>
      <c r="CP65" s="95">
        <v>701.14400000000001</v>
      </c>
      <c r="CQ65" s="95">
        <v>7331.25</v>
      </c>
      <c r="CR65" s="95">
        <v>701.14300000000003</v>
      </c>
      <c r="CS65" s="95">
        <v>1</v>
      </c>
      <c r="CT65" s="95">
        <v>2134.79</v>
      </c>
      <c r="CU65" s="95">
        <v>162.62100000000001</v>
      </c>
      <c r="CV65" s="95">
        <v>4.573E-2</v>
      </c>
      <c r="CW65" s="95">
        <v>117065</v>
      </c>
      <c r="CX65" s="95">
        <v>163744</v>
      </c>
      <c r="CY65" s="95">
        <v>287.04399999999998</v>
      </c>
      <c r="CZ65" s="95">
        <v>1.3905099999999999</v>
      </c>
      <c r="DA65" s="95">
        <v>1022.09</v>
      </c>
      <c r="DB65" s="95">
        <v>254.74299999999999</v>
      </c>
      <c r="DC65" s="95">
        <v>7331.26</v>
      </c>
      <c r="DD65" s="95">
        <v>1722.06</v>
      </c>
      <c r="DE65" s="95">
        <v>6.7599799999999997</v>
      </c>
      <c r="DF65" s="96">
        <f t="shared" si="29"/>
        <v>7112617.0730089508</v>
      </c>
      <c r="DG65" s="96">
        <f t="shared" si="30"/>
        <v>1646489.3217999998</v>
      </c>
      <c r="DH65" s="97"/>
      <c r="DI65" s="93">
        <v>316</v>
      </c>
      <c r="DJ65" s="93" t="s">
        <v>168</v>
      </c>
      <c r="DK65" s="93">
        <v>2030</v>
      </c>
      <c r="DL65" s="98">
        <f>DK65+AK65/1000*V65</f>
        <v>2646.2</v>
      </c>
      <c r="DM65" s="98">
        <f>DL65+AH65/1000*V65</f>
        <v>6832.4</v>
      </c>
      <c r="DU65" s="2">
        <v>5.9179945199999997</v>
      </c>
      <c r="DV65" s="2">
        <f t="shared" si="19"/>
        <v>7.9657944894799992E-2</v>
      </c>
      <c r="DW65" s="2">
        <f t="shared" si="20"/>
        <v>206.12823692823002</v>
      </c>
      <c r="DX65" s="2">
        <f t="shared" si="21"/>
        <v>286.80233951831502</v>
      </c>
      <c r="DY65" s="2">
        <f t="shared" si="22"/>
        <v>1697.2946735925677</v>
      </c>
      <c r="DZ65" s="19">
        <f t="shared" si="23"/>
        <v>9917689.0786103141</v>
      </c>
      <c r="EA65" s="2">
        <v>5.7739619199999996</v>
      </c>
      <c r="EB65" s="2">
        <f t="shared" si="24"/>
        <v>8.4407494705800001E-2</v>
      </c>
      <c r="EC65" s="2">
        <f t="shared" si="25"/>
        <v>215.21130116022002</v>
      </c>
      <c r="ED65" s="2">
        <f t="shared" si="26"/>
        <v>293.05320939781387</v>
      </c>
      <c r="EE65" s="2">
        <f t="shared" si="27"/>
        <v>1692.0780715967633</v>
      </c>
      <c r="EF65" s="19">
        <f t="shared" si="28"/>
        <v>10101788.298418825</v>
      </c>
    </row>
    <row r="66" spans="1:136">
      <c r="A66" s="9">
        <v>64</v>
      </c>
      <c r="B66" s="2" t="s">
        <v>254</v>
      </c>
      <c r="C66" s="2">
        <v>250313</v>
      </c>
      <c r="D66" s="2" t="s">
        <v>174</v>
      </c>
      <c r="E66" s="2" t="s">
        <v>230</v>
      </c>
      <c r="F66" s="2">
        <v>6.76</v>
      </c>
      <c r="G66" s="2">
        <v>1023</v>
      </c>
      <c r="H66" s="2">
        <v>19</v>
      </c>
      <c r="I66" s="2">
        <v>28</v>
      </c>
      <c r="J66" s="2" t="s">
        <v>151</v>
      </c>
      <c r="K66" s="2">
        <v>217.2</v>
      </c>
      <c r="L66" s="2" t="s">
        <v>255</v>
      </c>
      <c r="M66" s="2" t="s">
        <v>153</v>
      </c>
      <c r="N66" s="2" t="s">
        <v>154</v>
      </c>
      <c r="O66" s="2">
        <v>0.25</v>
      </c>
      <c r="P66" s="2">
        <v>18.3</v>
      </c>
      <c r="Q66" s="2">
        <v>0.64</v>
      </c>
      <c r="R66" s="2">
        <v>2500000</v>
      </c>
      <c r="S66" s="2" t="s">
        <v>155</v>
      </c>
      <c r="T66" s="2" t="s">
        <v>167</v>
      </c>
      <c r="U66" s="2" t="s">
        <v>157</v>
      </c>
      <c r="V66" s="2">
        <v>1500000</v>
      </c>
      <c r="W66" s="2">
        <v>1280</v>
      </c>
      <c r="X66" s="2">
        <v>32</v>
      </c>
      <c r="Y66" s="2" t="s">
        <v>158</v>
      </c>
      <c r="Z66" s="2">
        <v>9.5000000000000001E-2</v>
      </c>
      <c r="AA66" s="17">
        <v>1.2527253014399999</v>
      </c>
      <c r="AB66" s="17">
        <v>18.385480000000001</v>
      </c>
      <c r="AC66" s="17">
        <v>77.166809107555096</v>
      </c>
      <c r="AD66" s="17">
        <v>1.8086693717501601E-2</v>
      </c>
      <c r="AE66" s="17">
        <v>23.415269404634099</v>
      </c>
      <c r="AF66" s="17">
        <v>58.3578749232015</v>
      </c>
      <c r="AG66" s="17">
        <v>1.7602938066242499</v>
      </c>
      <c r="AH66" s="17">
        <v>2.6316000000000002</v>
      </c>
      <c r="AI66" s="17">
        <v>944.82237339380197</v>
      </c>
      <c r="AJ66" s="17">
        <v>0.90680000000000005</v>
      </c>
      <c r="AK66" s="17">
        <v>0.31559999999999999</v>
      </c>
      <c r="AL66" s="17">
        <v>125273</v>
      </c>
      <c r="AM66" s="17">
        <v>291.53500000000003</v>
      </c>
      <c r="AN66" s="17">
        <v>1.4969300000000001</v>
      </c>
      <c r="AO66" s="17">
        <v>209866</v>
      </c>
      <c r="AP66" s="17">
        <v>293552</v>
      </c>
      <c r="AQ66" s="17">
        <v>287.05399999999997</v>
      </c>
      <c r="AR66" s="17">
        <v>1.39053</v>
      </c>
      <c r="AS66" s="17">
        <v>1022.1</v>
      </c>
      <c r="AT66" s="17">
        <v>341.08199999999999</v>
      </c>
      <c r="AU66" s="17">
        <v>6766.1</v>
      </c>
      <c r="AV66" s="17">
        <v>0</v>
      </c>
      <c r="AW66" s="17">
        <v>0</v>
      </c>
      <c r="AX66" s="17">
        <v>1099800</v>
      </c>
      <c r="AY66" s="17">
        <v>692.90700000000004</v>
      </c>
      <c r="AZ66" s="17">
        <v>5.5294600000000003</v>
      </c>
      <c r="BA66" s="17">
        <v>508286</v>
      </c>
      <c r="BB66" s="17">
        <v>707185</v>
      </c>
      <c r="BC66" s="17">
        <v>287.05</v>
      </c>
      <c r="BD66" s="17">
        <v>1.36524</v>
      </c>
      <c r="BE66" s="17">
        <v>1072.98</v>
      </c>
      <c r="BF66" s="17">
        <v>521.14800000000002</v>
      </c>
      <c r="BG66" s="17">
        <v>7042.32</v>
      </c>
      <c r="BH66" s="17">
        <v>255.78100000000001</v>
      </c>
      <c r="BI66" s="17">
        <v>0.49080299646165798</v>
      </c>
      <c r="BJ66" s="18">
        <v>5136480</v>
      </c>
      <c r="BK66" s="17">
        <v>1131.8800000000001</v>
      </c>
      <c r="BL66" s="17">
        <v>15.809100000000001</v>
      </c>
      <c r="BM66" s="17">
        <v>874963</v>
      </c>
      <c r="BN66" s="17">
        <v>1199870</v>
      </c>
      <c r="BO66" s="17">
        <v>287.04899999999998</v>
      </c>
      <c r="BP66" s="17">
        <v>1.32731</v>
      </c>
      <c r="BQ66" s="17">
        <v>1164.04</v>
      </c>
      <c r="BR66" s="17">
        <v>656.39</v>
      </c>
      <c r="BS66" s="17">
        <v>7148.94</v>
      </c>
      <c r="BT66" s="17">
        <v>0</v>
      </c>
      <c r="BU66" s="17">
        <v>0</v>
      </c>
      <c r="BV66" s="18">
        <v>5835790</v>
      </c>
      <c r="BW66" s="17">
        <v>1167.94</v>
      </c>
      <c r="BX66" s="17">
        <v>17.407</v>
      </c>
      <c r="BY66" s="17">
        <v>906760</v>
      </c>
      <c r="BZ66" s="17">
        <v>1242020</v>
      </c>
      <c r="CA66" s="17">
        <v>287.048</v>
      </c>
      <c r="CB66" s="17">
        <v>1.32535</v>
      </c>
      <c r="CC66" s="17">
        <v>1169.32</v>
      </c>
      <c r="CD66" s="17">
        <v>666.2</v>
      </c>
      <c r="CE66" s="17">
        <v>7148.94</v>
      </c>
      <c r="CF66" s="17">
        <v>0</v>
      </c>
      <c r="CG66" s="17">
        <v>0</v>
      </c>
      <c r="CH66" s="17">
        <v>3146220</v>
      </c>
      <c r="CI66" s="17">
        <v>1002.08</v>
      </c>
      <c r="CJ66" s="17">
        <v>10.937900000000001</v>
      </c>
      <c r="CK66" s="17">
        <v>762279</v>
      </c>
      <c r="CL66" s="17">
        <v>1049920</v>
      </c>
      <c r="CM66" s="17">
        <v>287.048</v>
      </c>
      <c r="CN66" s="17">
        <v>1.33616</v>
      </c>
      <c r="CO66" s="17">
        <v>1140.95</v>
      </c>
      <c r="CP66" s="17">
        <v>619.82799999999997</v>
      </c>
      <c r="CQ66" s="17">
        <v>7148.94</v>
      </c>
      <c r="CR66" s="17">
        <v>619.827</v>
      </c>
      <c r="CS66" s="17">
        <v>0.99999838664920004</v>
      </c>
      <c r="CT66" s="17">
        <v>1459.95</v>
      </c>
      <c r="CU66" s="17">
        <v>122.657</v>
      </c>
      <c r="CV66" s="17">
        <v>4.1467200000000003E-2</v>
      </c>
      <c r="CW66" s="17">
        <v>88296.3</v>
      </c>
      <c r="CX66" s="17">
        <v>123504</v>
      </c>
      <c r="CY66" s="17">
        <v>287.03899999999999</v>
      </c>
      <c r="CZ66" s="17">
        <v>1.3905099999999999</v>
      </c>
      <c r="DA66" s="17">
        <v>1022.08</v>
      </c>
      <c r="DB66" s="17">
        <v>221.239</v>
      </c>
      <c r="DC66" s="17">
        <v>7148.94</v>
      </c>
      <c r="DD66" s="17">
        <v>1495.67</v>
      </c>
      <c r="DE66" s="17">
        <v>6.7604199999999999</v>
      </c>
      <c r="DF66" s="19">
        <f t="shared" si="29"/>
        <v>7302578.6928319</v>
      </c>
      <c r="DG66" s="19">
        <f t="shared" si="30"/>
        <v>1242018.37445</v>
      </c>
      <c r="DL66" s="16"/>
      <c r="DM66" s="16"/>
      <c r="DU66" s="2">
        <v>5.9179945199999997</v>
      </c>
      <c r="DV66" s="2">
        <f t="shared" si="19"/>
        <v>7.2232493604672002E-2</v>
      </c>
      <c r="DW66" s="2">
        <f t="shared" si="20"/>
        <v>155.47236308290999</v>
      </c>
      <c r="DX66" s="2">
        <f t="shared" si="21"/>
        <v>249.08186993437502</v>
      </c>
      <c r="DY66" s="2">
        <f t="shared" si="22"/>
        <v>1474.0651413029841</v>
      </c>
      <c r="DZ66" s="19">
        <f t="shared" si="23"/>
        <v>10018832.604729941</v>
      </c>
      <c r="EA66" s="2">
        <v>5.7739619199999996</v>
      </c>
      <c r="EB66" s="2">
        <f t="shared" si="24"/>
        <v>7.6539306023712006E-2</v>
      </c>
      <c r="EC66" s="2">
        <f t="shared" si="25"/>
        <v>162.32327046573999</v>
      </c>
      <c r="ED66" s="2">
        <f t="shared" si="26"/>
        <v>254.51062048402878</v>
      </c>
      <c r="EE66" s="2">
        <f t="shared" si="27"/>
        <v>1469.5346309103541</v>
      </c>
      <c r="EF66" s="19">
        <f t="shared" si="28"/>
        <v>10175722.157078739</v>
      </c>
    </row>
    <row r="67" spans="1:136">
      <c r="A67" s="9">
        <v>65</v>
      </c>
      <c r="B67" s="2" t="s">
        <v>254</v>
      </c>
      <c r="C67" s="2">
        <v>250313</v>
      </c>
      <c r="D67" s="2" t="s">
        <v>174</v>
      </c>
      <c r="E67" s="2" t="s">
        <v>230</v>
      </c>
      <c r="F67" s="2">
        <v>6.76</v>
      </c>
      <c r="G67" s="2">
        <v>1023</v>
      </c>
      <c r="H67" s="2">
        <v>19</v>
      </c>
      <c r="I67" s="2">
        <v>28</v>
      </c>
      <c r="J67" s="2" t="s">
        <v>151</v>
      </c>
      <c r="K67" s="2">
        <v>203.3</v>
      </c>
      <c r="L67" s="2" t="s">
        <v>240</v>
      </c>
      <c r="M67" s="2" t="s">
        <v>153</v>
      </c>
      <c r="N67" s="2" t="s">
        <v>154</v>
      </c>
      <c r="O67" s="2">
        <v>0.57999999999999996</v>
      </c>
      <c r="P67" s="2">
        <v>18.100000000000001</v>
      </c>
      <c r="Q67" s="2">
        <v>0.59</v>
      </c>
      <c r="R67" s="2">
        <v>2500000</v>
      </c>
      <c r="S67" s="2" t="s">
        <v>155</v>
      </c>
      <c r="T67" s="2" t="s">
        <v>167</v>
      </c>
      <c r="U67" s="2" t="s">
        <v>157</v>
      </c>
      <c r="V67" s="2">
        <v>1500000</v>
      </c>
      <c r="W67" s="2">
        <v>1280</v>
      </c>
      <c r="X67" s="2">
        <v>32</v>
      </c>
      <c r="Y67" s="2" t="s">
        <v>158</v>
      </c>
      <c r="Z67" s="2">
        <v>9.5000000000000001E-2</v>
      </c>
      <c r="AA67" s="17">
        <v>1.5730308047999999</v>
      </c>
      <c r="AB67" s="17">
        <v>18.086967999999999</v>
      </c>
      <c r="AC67" s="17">
        <v>39.582375465668598</v>
      </c>
      <c r="AD67" s="17">
        <v>3.2593528826796198E-2</v>
      </c>
      <c r="AE67" s="17">
        <v>22.7674588904747</v>
      </c>
      <c r="AF67" s="17">
        <v>35.958194676609899</v>
      </c>
      <c r="AG67" s="17">
        <v>1.3402100523742699</v>
      </c>
      <c r="AH67" s="17">
        <v>2.6547999999999998</v>
      </c>
      <c r="AI67" s="17">
        <v>770.65351418002501</v>
      </c>
      <c r="AJ67" s="17">
        <v>1.1048</v>
      </c>
      <c r="AK67" s="17">
        <v>0.316</v>
      </c>
      <c r="AL67" s="17">
        <v>157303</v>
      </c>
      <c r="AM67" s="17">
        <v>291.23700000000002</v>
      </c>
      <c r="AN67" s="17">
        <v>1.8816200000000001</v>
      </c>
      <c r="AO67" s="17">
        <v>209651</v>
      </c>
      <c r="AP67" s="17">
        <v>293251</v>
      </c>
      <c r="AQ67" s="17">
        <v>287.05099999999999</v>
      </c>
      <c r="AR67" s="17">
        <v>1.39052</v>
      </c>
      <c r="AS67" s="17">
        <v>1022.1</v>
      </c>
      <c r="AT67" s="17">
        <v>340.90800000000002</v>
      </c>
      <c r="AU67" s="17">
        <v>6699.8</v>
      </c>
      <c r="AV67" s="17">
        <v>0</v>
      </c>
      <c r="AW67" s="17">
        <v>0</v>
      </c>
      <c r="AX67" s="17">
        <v>908092</v>
      </c>
      <c r="AY67" s="17">
        <v>551.71500000000003</v>
      </c>
      <c r="AZ67" s="17">
        <v>5.7339000000000002</v>
      </c>
      <c r="BA67" s="17">
        <v>399854</v>
      </c>
      <c r="BB67" s="17">
        <v>558226</v>
      </c>
      <c r="BC67" s="17">
        <v>287.05500000000001</v>
      </c>
      <c r="BD67" s="17">
        <v>1.3807400000000001</v>
      </c>
      <c r="BE67" s="17">
        <v>1040.99</v>
      </c>
      <c r="BF67" s="17">
        <v>467.65499999999997</v>
      </c>
      <c r="BG67" s="17">
        <v>6856.8</v>
      </c>
      <c r="BH67" s="17">
        <v>252.89500000000001</v>
      </c>
      <c r="BI67" s="17">
        <v>0.54077257807571799</v>
      </c>
      <c r="BJ67" s="18">
        <v>3467950</v>
      </c>
      <c r="BK67" s="17">
        <v>842.89400000000001</v>
      </c>
      <c r="BL67" s="17">
        <v>14.3332</v>
      </c>
      <c r="BM67" s="17">
        <v>628793</v>
      </c>
      <c r="BN67" s="17">
        <v>870745</v>
      </c>
      <c r="BO67" s="17">
        <v>287.05</v>
      </c>
      <c r="BP67" s="17">
        <v>1.3495699999999999</v>
      </c>
      <c r="BQ67" s="17">
        <v>1108.21</v>
      </c>
      <c r="BR67" s="17">
        <v>571.40300000000002</v>
      </c>
      <c r="BS67" s="17">
        <v>6926.34</v>
      </c>
      <c r="BT67" s="17">
        <v>0</v>
      </c>
      <c r="BU67" s="17">
        <v>0</v>
      </c>
      <c r="BV67" s="18">
        <v>3595820</v>
      </c>
      <c r="BW67" s="17">
        <v>850.84100000000001</v>
      </c>
      <c r="BX67" s="17">
        <v>14.722799999999999</v>
      </c>
      <c r="BY67" s="17">
        <v>635335</v>
      </c>
      <c r="BZ67" s="17">
        <v>879569</v>
      </c>
      <c r="CA67" s="17">
        <v>287.05</v>
      </c>
      <c r="CB67" s="17">
        <v>1.3488599999999999</v>
      </c>
      <c r="CC67" s="17">
        <v>1109.8599999999999</v>
      </c>
      <c r="CD67" s="17">
        <v>573.94100000000003</v>
      </c>
      <c r="CE67" s="17">
        <v>6926.34</v>
      </c>
      <c r="CF67" s="17">
        <v>0</v>
      </c>
      <c r="CG67" s="17">
        <v>0</v>
      </c>
      <c r="CH67" s="17">
        <v>1920440</v>
      </c>
      <c r="CI67" s="17">
        <v>721.85699999999997</v>
      </c>
      <c r="CJ67" s="17">
        <v>9.2680799999999994</v>
      </c>
      <c r="CK67" s="17">
        <v>531213</v>
      </c>
      <c r="CL67" s="17">
        <v>738423</v>
      </c>
      <c r="CM67" s="17">
        <v>287.05200000000002</v>
      </c>
      <c r="CN67" s="17">
        <v>1.36209</v>
      </c>
      <c r="CO67" s="17">
        <v>1079.82</v>
      </c>
      <c r="CP67" s="17">
        <v>531.31100000000004</v>
      </c>
      <c r="CQ67" s="17">
        <v>6926.34</v>
      </c>
      <c r="CR67" s="17">
        <v>531.31100000000004</v>
      </c>
      <c r="CS67" s="17">
        <v>1</v>
      </c>
      <c r="CT67" s="17">
        <v>917.54200000000003</v>
      </c>
      <c r="CU67" s="17">
        <v>86.863</v>
      </c>
      <c r="CV67" s="17">
        <v>3.6801300000000002E-2</v>
      </c>
      <c r="CW67" s="17">
        <v>62529.5</v>
      </c>
      <c r="CX67" s="17">
        <v>87461.8</v>
      </c>
      <c r="CY67" s="17">
        <v>287.02999999999997</v>
      </c>
      <c r="CZ67" s="17">
        <v>1.39049</v>
      </c>
      <c r="DA67" s="17">
        <v>1022.07</v>
      </c>
      <c r="DB67" s="17">
        <v>186.18</v>
      </c>
      <c r="DC67" s="17">
        <v>6926.34</v>
      </c>
      <c r="DD67" s="17">
        <v>1258.6600000000001</v>
      </c>
      <c r="DE67" s="17">
        <v>6.7604300000000004</v>
      </c>
      <c r="DF67" s="19">
        <f t="shared" si="29"/>
        <v>7749602.1340313479</v>
      </c>
      <c r="DG67" s="19">
        <f t="shared" si="30"/>
        <v>879574.29780000017</v>
      </c>
      <c r="DL67" s="16"/>
      <c r="DM67" s="16"/>
      <c r="DU67" s="2">
        <v>5.9179945199999997</v>
      </c>
      <c r="DV67" s="2">
        <f t="shared" si="19"/>
        <v>6.4104874862388E-2</v>
      </c>
      <c r="DW67" s="2">
        <f t="shared" si="20"/>
        <v>110.10212115469001</v>
      </c>
      <c r="DX67" s="2">
        <f t="shared" si="21"/>
        <v>209.61070400960926</v>
      </c>
      <c r="DY67" s="2">
        <f t="shared" si="22"/>
        <v>1240.4749976622095</v>
      </c>
      <c r="DZ67" s="19">
        <f t="shared" si="23"/>
        <v>10417749.608636005</v>
      </c>
      <c r="EA67" s="2">
        <v>5.7739619199999996</v>
      </c>
      <c r="EB67" s="2">
        <f t="shared" si="24"/>
        <v>6.7927083641298E-2</v>
      </c>
      <c r="EC67" s="2">
        <f t="shared" si="25"/>
        <v>114.95378366066001</v>
      </c>
      <c r="ED67" s="2">
        <f t="shared" si="26"/>
        <v>214.17917872398843</v>
      </c>
      <c r="EE67" s="2">
        <f t="shared" si="27"/>
        <v>1236.6624220091833</v>
      </c>
      <c r="EF67" s="19">
        <f t="shared" si="28"/>
        <v>10542031.473012846</v>
      </c>
    </row>
    <row r="68" spans="1:136">
      <c r="A68" s="9">
        <v>66</v>
      </c>
      <c r="B68" s="2" t="s">
        <v>254</v>
      </c>
      <c r="C68" s="2">
        <v>250313</v>
      </c>
      <c r="D68" s="2" t="s">
        <v>174</v>
      </c>
      <c r="E68" s="2" t="s">
        <v>230</v>
      </c>
      <c r="F68" s="2">
        <v>6.76</v>
      </c>
      <c r="G68" s="2">
        <v>1023</v>
      </c>
      <c r="H68" s="2">
        <v>19</v>
      </c>
      <c r="I68" s="2">
        <v>28</v>
      </c>
      <c r="J68" s="2" t="s">
        <v>151</v>
      </c>
      <c r="K68" s="2">
        <v>230.2</v>
      </c>
      <c r="L68" s="2" t="s">
        <v>240</v>
      </c>
      <c r="M68" s="2" t="s">
        <v>153</v>
      </c>
      <c r="N68" s="2" t="s">
        <v>154</v>
      </c>
      <c r="O68" s="2">
        <v>0.45</v>
      </c>
      <c r="P68" s="2">
        <v>18</v>
      </c>
      <c r="Q68" s="2">
        <v>0.6</v>
      </c>
      <c r="R68" s="2">
        <v>2500000</v>
      </c>
      <c r="S68" s="2" t="s">
        <v>155</v>
      </c>
      <c r="T68" s="2" t="s">
        <v>167</v>
      </c>
      <c r="U68" s="2" t="s">
        <v>157</v>
      </c>
      <c r="V68" s="2">
        <v>1500000</v>
      </c>
      <c r="W68" s="2">
        <v>1280</v>
      </c>
      <c r="X68" s="2">
        <v>32</v>
      </c>
      <c r="Y68" s="2" t="s">
        <v>158</v>
      </c>
      <c r="Z68" s="2">
        <v>9.5000000000000001E-2</v>
      </c>
      <c r="AA68" s="17">
        <v>1.46665094208</v>
      </c>
      <c r="AB68" s="17">
        <v>17.306920000000002</v>
      </c>
      <c r="AC68" s="17">
        <v>39.2862656051798</v>
      </c>
      <c r="AD68" s="17">
        <v>2.1529934704846002E-2</v>
      </c>
      <c r="AE68" s="17">
        <v>21.8190637671857</v>
      </c>
      <c r="AF68" s="17">
        <v>36.705829237633402</v>
      </c>
      <c r="AG68" s="17">
        <v>1.1109226205321101</v>
      </c>
      <c r="AH68" s="17">
        <v>2.6252</v>
      </c>
      <c r="AI68" s="17">
        <v>775.91558038485402</v>
      </c>
      <c r="AJ68" s="17">
        <v>1.0972</v>
      </c>
      <c r="AK68" s="17">
        <v>0.316</v>
      </c>
      <c r="AL68" s="17">
        <v>146665</v>
      </c>
      <c r="AM68" s="17">
        <v>290.45699999999999</v>
      </c>
      <c r="AN68" s="17">
        <v>1.75908</v>
      </c>
      <c r="AO68" s="17">
        <v>209089</v>
      </c>
      <c r="AP68" s="17">
        <v>292465</v>
      </c>
      <c r="AQ68" s="17">
        <v>287.05200000000002</v>
      </c>
      <c r="AR68" s="17">
        <v>1.39052</v>
      </c>
      <c r="AS68" s="17">
        <v>1022.1</v>
      </c>
      <c r="AT68" s="17">
        <v>340.45100000000002</v>
      </c>
      <c r="AU68" s="17">
        <v>6717.18</v>
      </c>
      <c r="AV68" s="17">
        <v>0</v>
      </c>
      <c r="AW68" s="17">
        <v>0</v>
      </c>
      <c r="AX68" s="17">
        <v>861050</v>
      </c>
      <c r="AY68" s="17">
        <v>554.95299999999997</v>
      </c>
      <c r="AZ68" s="17">
        <v>5.4051799999999997</v>
      </c>
      <c r="BA68" s="17">
        <v>402304</v>
      </c>
      <c r="BB68" s="17">
        <v>561606</v>
      </c>
      <c r="BC68" s="17">
        <v>287.053</v>
      </c>
      <c r="BD68" s="17">
        <v>1.3803799999999999</v>
      </c>
      <c r="BE68" s="17">
        <v>1041.71</v>
      </c>
      <c r="BF68" s="17">
        <v>468.96499999999997</v>
      </c>
      <c r="BG68" s="17">
        <v>6878.15</v>
      </c>
      <c r="BH68" s="17">
        <v>252.517</v>
      </c>
      <c r="BI68" s="17">
        <v>0.53845596153231101</v>
      </c>
      <c r="BJ68" s="18">
        <v>3317800</v>
      </c>
      <c r="BK68" s="17">
        <v>850.56299999999999</v>
      </c>
      <c r="BL68" s="17">
        <v>13.589</v>
      </c>
      <c r="BM68" s="17">
        <v>635106</v>
      </c>
      <c r="BN68" s="17">
        <v>879259</v>
      </c>
      <c r="BO68" s="17">
        <v>287.04899999999998</v>
      </c>
      <c r="BP68" s="17">
        <v>1.3488899999999999</v>
      </c>
      <c r="BQ68" s="17">
        <v>1109.8</v>
      </c>
      <c r="BR68" s="17">
        <v>573.85299999999995</v>
      </c>
      <c r="BS68" s="17">
        <v>6949.09</v>
      </c>
      <c r="BT68" s="17">
        <v>0</v>
      </c>
      <c r="BU68" s="17">
        <v>0</v>
      </c>
      <c r="BV68" s="18">
        <v>3670580</v>
      </c>
      <c r="BW68" s="17">
        <v>873.05600000000004</v>
      </c>
      <c r="BX68" s="17">
        <v>14.646599999999999</v>
      </c>
      <c r="BY68" s="17">
        <v>653690</v>
      </c>
      <c r="BZ68" s="17">
        <v>904300</v>
      </c>
      <c r="CA68" s="17">
        <v>287.05</v>
      </c>
      <c r="CB68" s="17">
        <v>1.3469100000000001</v>
      </c>
      <c r="CC68" s="17">
        <v>1114.51</v>
      </c>
      <c r="CD68" s="17">
        <v>580.96100000000001</v>
      </c>
      <c r="CE68" s="17">
        <v>6949.09</v>
      </c>
      <c r="CF68" s="17">
        <v>0</v>
      </c>
      <c r="CG68" s="17">
        <v>0</v>
      </c>
      <c r="CH68" s="17">
        <v>1961870</v>
      </c>
      <c r="CI68" s="17">
        <v>741.375</v>
      </c>
      <c r="CJ68" s="17">
        <v>9.2187800000000006</v>
      </c>
      <c r="CK68" s="17">
        <v>546752</v>
      </c>
      <c r="CL68" s="17">
        <v>759565</v>
      </c>
      <c r="CM68" s="17">
        <v>287.05099999999999</v>
      </c>
      <c r="CN68" s="17">
        <v>1.35998</v>
      </c>
      <c r="CO68" s="17">
        <v>1084.45</v>
      </c>
      <c r="CP68" s="17">
        <v>538.02499999999998</v>
      </c>
      <c r="CQ68" s="17">
        <v>6949.09</v>
      </c>
      <c r="CR68" s="17">
        <v>538.024</v>
      </c>
      <c r="CS68" s="17">
        <v>0.99999814135030896</v>
      </c>
      <c r="CT68" s="17">
        <v>937.21199999999999</v>
      </c>
      <c r="CU68" s="17">
        <v>89.316100000000006</v>
      </c>
      <c r="CV68" s="17">
        <v>3.6558E-2</v>
      </c>
      <c r="CW68" s="17">
        <v>64295.3</v>
      </c>
      <c r="CX68" s="17">
        <v>89931.7</v>
      </c>
      <c r="CY68" s="17">
        <v>287.029</v>
      </c>
      <c r="CZ68" s="17">
        <v>1.39049</v>
      </c>
      <c r="DA68" s="17">
        <v>1022.07</v>
      </c>
      <c r="DB68" s="17">
        <v>188.79</v>
      </c>
      <c r="DC68" s="17">
        <v>6949.09</v>
      </c>
      <c r="DD68" s="17">
        <v>1276.22</v>
      </c>
      <c r="DE68" s="17">
        <v>6.7599900000000002</v>
      </c>
      <c r="DF68" s="19">
        <f t="shared" si="29"/>
        <v>7579222.6768898582</v>
      </c>
      <c r="DG68" s="19">
        <f t="shared" si="30"/>
        <v>904300.44420000003</v>
      </c>
      <c r="DL68" s="16"/>
      <c r="DM68" s="16"/>
      <c r="DU68" s="2">
        <v>5.9179945199999997</v>
      </c>
      <c r="DV68" s="2">
        <f t="shared" si="19"/>
        <v>6.3681066028079991E-2</v>
      </c>
      <c r="DW68" s="2">
        <f t="shared" si="20"/>
        <v>113.21151771484301</v>
      </c>
      <c r="DX68" s="2">
        <f t="shared" si="21"/>
        <v>212.54917182282807</v>
      </c>
      <c r="DY68" s="2">
        <f t="shared" si="22"/>
        <v>1257.8648340780348</v>
      </c>
      <c r="DZ68" s="19">
        <f t="shared" si="23"/>
        <v>10206145.678680135</v>
      </c>
      <c r="EA68" s="2">
        <v>5.7739619199999996</v>
      </c>
      <c r="EB68" s="2">
        <f t="shared" si="24"/>
        <v>6.7478005498679994E-2</v>
      </c>
      <c r="EC68" s="2">
        <f t="shared" si="25"/>
        <v>118.20019613430202</v>
      </c>
      <c r="ED68" s="2">
        <f t="shared" si="26"/>
        <v>217.1816905752593</v>
      </c>
      <c r="EE68" s="2">
        <f t="shared" si="27"/>
        <v>1253.9988111027699</v>
      </c>
      <c r="EF68" s="19">
        <f t="shared" si="28"/>
        <v>10331003.624210458</v>
      </c>
    </row>
    <row r="69" spans="1:136">
      <c r="A69" s="1">
        <v>67</v>
      </c>
      <c r="B69" s="2" t="s">
        <v>256</v>
      </c>
      <c r="C69" s="2">
        <v>250314</v>
      </c>
      <c r="D69" s="2" t="s">
        <v>174</v>
      </c>
      <c r="E69" s="2" t="s">
        <v>230</v>
      </c>
      <c r="F69" s="2">
        <v>6.76</v>
      </c>
      <c r="G69" s="2">
        <v>1025</v>
      </c>
      <c r="H69" s="2">
        <v>19</v>
      </c>
      <c r="I69" s="2">
        <v>24</v>
      </c>
      <c r="J69" s="2" t="s">
        <v>151</v>
      </c>
      <c r="K69" s="2">
        <v>201.6</v>
      </c>
      <c r="L69" s="2" t="s">
        <v>240</v>
      </c>
      <c r="M69" s="2" t="s">
        <v>153</v>
      </c>
      <c r="N69" s="2" t="s">
        <v>154</v>
      </c>
      <c r="O69" s="2">
        <v>0.26</v>
      </c>
      <c r="P69" s="2">
        <v>17.2</v>
      </c>
      <c r="Q69" s="2">
        <v>0.65</v>
      </c>
      <c r="R69" s="2">
        <v>2500000</v>
      </c>
      <c r="S69" s="2" t="s">
        <v>155</v>
      </c>
      <c r="T69" s="2" t="s">
        <v>167</v>
      </c>
      <c r="U69" s="2" t="s">
        <v>157</v>
      </c>
      <c r="V69" s="2">
        <v>1500000</v>
      </c>
      <c r="W69" s="2">
        <v>1280</v>
      </c>
      <c r="X69" s="2">
        <v>32</v>
      </c>
      <c r="Y69" s="2" t="s">
        <v>158</v>
      </c>
      <c r="Z69" s="2">
        <v>9.5000000000000001E-2</v>
      </c>
      <c r="AA69" s="17">
        <v>1.27140786976</v>
      </c>
      <c r="AB69" s="17">
        <v>17.990644</v>
      </c>
      <c r="AC69" s="17">
        <v>38.855102565926501</v>
      </c>
      <c r="AD69" s="17">
        <v>2.4284255739748999E-2</v>
      </c>
      <c r="AE69" s="17">
        <v>21.738648467594299</v>
      </c>
      <c r="AF69" s="17">
        <v>33.252198897216303</v>
      </c>
      <c r="AG69" s="17">
        <v>1.0003836542010001</v>
      </c>
      <c r="AH69" s="17">
        <v>2.7151999999999998</v>
      </c>
      <c r="AI69" s="17">
        <v>782.22778473091398</v>
      </c>
      <c r="AJ69" s="17">
        <v>1.1132</v>
      </c>
      <c r="AK69" s="17">
        <v>0.31519999999999998</v>
      </c>
      <c r="AL69" s="17">
        <v>127141</v>
      </c>
      <c r="AM69" s="17">
        <v>291.14100000000002</v>
      </c>
      <c r="AN69" s="17">
        <v>1.5213099999999999</v>
      </c>
      <c r="AO69" s="17">
        <v>209581</v>
      </c>
      <c r="AP69" s="17">
        <v>293154</v>
      </c>
      <c r="AQ69" s="17">
        <v>287.05399999999997</v>
      </c>
      <c r="AR69" s="17">
        <v>1.39053</v>
      </c>
      <c r="AS69" s="17">
        <v>1022.1</v>
      </c>
      <c r="AT69" s="17">
        <v>340.851</v>
      </c>
      <c r="AU69" s="17">
        <v>6760.47</v>
      </c>
      <c r="AV69" s="17">
        <v>0</v>
      </c>
      <c r="AW69" s="17">
        <v>0</v>
      </c>
      <c r="AX69" s="17">
        <v>757234</v>
      </c>
      <c r="AY69" s="17">
        <v>560.26700000000005</v>
      </c>
      <c r="AZ69" s="17">
        <v>4.7083899999999996</v>
      </c>
      <c r="BA69" s="17">
        <v>406328</v>
      </c>
      <c r="BB69" s="17">
        <v>567155</v>
      </c>
      <c r="BC69" s="17">
        <v>287.05399999999997</v>
      </c>
      <c r="BD69" s="17">
        <v>1.37978</v>
      </c>
      <c r="BE69" s="17">
        <v>1042.8900000000001</v>
      </c>
      <c r="BF69" s="17">
        <v>471.10599999999999</v>
      </c>
      <c r="BG69" s="17">
        <v>6924.96</v>
      </c>
      <c r="BH69" s="17">
        <v>252.74299999999999</v>
      </c>
      <c r="BI69" s="17">
        <v>0.53648860341409399</v>
      </c>
      <c r="BJ69" s="18">
        <v>2939970</v>
      </c>
      <c r="BK69" s="17">
        <v>860.83</v>
      </c>
      <c r="BL69" s="17">
        <v>11.8979</v>
      </c>
      <c r="BM69" s="17">
        <v>643576</v>
      </c>
      <c r="BN69" s="17">
        <v>890675</v>
      </c>
      <c r="BO69" s="17">
        <v>287.04899999999998</v>
      </c>
      <c r="BP69" s="17">
        <v>1.34798</v>
      </c>
      <c r="BQ69" s="17">
        <v>1111.95</v>
      </c>
      <c r="BR69" s="17">
        <v>577.11199999999997</v>
      </c>
      <c r="BS69" s="17">
        <v>6997.12</v>
      </c>
      <c r="BT69" s="17">
        <v>0</v>
      </c>
      <c r="BU69" s="17">
        <v>0</v>
      </c>
      <c r="BV69" s="18">
        <v>3325220</v>
      </c>
      <c r="BW69" s="17">
        <v>888.57</v>
      </c>
      <c r="BX69" s="17">
        <v>13.036899999999999</v>
      </c>
      <c r="BY69" s="17">
        <v>666568</v>
      </c>
      <c r="BZ69" s="17">
        <v>921631</v>
      </c>
      <c r="CA69" s="17">
        <v>287.04899999999998</v>
      </c>
      <c r="CB69" s="17">
        <v>1.34554</v>
      </c>
      <c r="CC69" s="17">
        <v>1117.77</v>
      </c>
      <c r="CD69" s="17">
        <v>585.79999999999995</v>
      </c>
      <c r="CE69" s="17">
        <v>6997.12</v>
      </c>
      <c r="CF69" s="17">
        <v>0</v>
      </c>
      <c r="CG69" s="17">
        <v>0</v>
      </c>
      <c r="CH69" s="17">
        <v>1778110</v>
      </c>
      <c r="CI69" s="17">
        <v>755.02700000000004</v>
      </c>
      <c r="CJ69" s="17">
        <v>8.2042300000000008</v>
      </c>
      <c r="CK69" s="17">
        <v>557662</v>
      </c>
      <c r="CL69" s="17">
        <v>774393</v>
      </c>
      <c r="CM69" s="17">
        <v>287.05</v>
      </c>
      <c r="CN69" s="17">
        <v>1.3585199999999999</v>
      </c>
      <c r="CO69" s="17">
        <v>1087.71</v>
      </c>
      <c r="CP69" s="17">
        <v>542.65800000000002</v>
      </c>
      <c r="CQ69" s="17">
        <v>6997.12</v>
      </c>
      <c r="CR69" s="17">
        <v>542.65700000000004</v>
      </c>
      <c r="CS69" s="17">
        <v>0.99999815721872698</v>
      </c>
      <c r="CT69" s="17">
        <v>851.01</v>
      </c>
      <c r="CU69" s="17">
        <v>91.016800000000003</v>
      </c>
      <c r="CV69" s="17">
        <v>3.2576099999999997E-2</v>
      </c>
      <c r="CW69" s="17">
        <v>65519.7</v>
      </c>
      <c r="CX69" s="17">
        <v>91643.4</v>
      </c>
      <c r="CY69" s="17">
        <v>287.02100000000002</v>
      </c>
      <c r="CZ69" s="17">
        <v>1.3904799999999999</v>
      </c>
      <c r="DA69" s="17">
        <v>1022.06</v>
      </c>
      <c r="DB69" s="17">
        <v>190.57900000000001</v>
      </c>
      <c r="DC69" s="17">
        <v>6997.12</v>
      </c>
      <c r="DD69" s="17">
        <v>1288.4000000000001</v>
      </c>
      <c r="DE69" s="17">
        <v>6.7604499999999996</v>
      </c>
      <c r="DF69" s="19">
        <f t="shared" si="29"/>
        <v>6684215.0244375616</v>
      </c>
      <c r="DG69" s="19">
        <f t="shared" si="30"/>
        <v>921630.68000000017</v>
      </c>
      <c r="DU69" s="2">
        <v>5.9179945199999997</v>
      </c>
      <c r="DV69" s="2">
        <f t="shared" si="19"/>
        <v>5.674491971763599E-2</v>
      </c>
      <c r="DW69" s="2">
        <f t="shared" si="20"/>
        <v>115.36721896218401</v>
      </c>
      <c r="DX69" s="2">
        <f t="shared" si="21"/>
        <v>214.56331700208037</v>
      </c>
      <c r="DY69" s="2">
        <f t="shared" si="22"/>
        <v>1269.7845342113344</v>
      </c>
      <c r="DZ69" s="19">
        <f t="shared" si="23"/>
        <v>9010364.9468078744</v>
      </c>
      <c r="EA69" s="2">
        <v>5.7739619199999996</v>
      </c>
      <c r="EB69" s="2">
        <f t="shared" si="24"/>
        <v>6.0128296266905995E-2</v>
      </c>
      <c r="EC69" s="2">
        <f t="shared" si="25"/>
        <v>120.45088860257601</v>
      </c>
      <c r="ED69" s="2">
        <f t="shared" si="26"/>
        <v>219.2397341392147</v>
      </c>
      <c r="EE69" s="2">
        <f t="shared" si="27"/>
        <v>1265.8818762707497</v>
      </c>
      <c r="EF69" s="19">
        <f t="shared" si="28"/>
        <v>9122447.7204350252</v>
      </c>
    </row>
    <row r="70" spans="1:136" s="74" customFormat="1">
      <c r="A70" s="99">
        <v>68</v>
      </c>
      <c r="B70" s="74" t="s">
        <v>256</v>
      </c>
      <c r="C70" s="74">
        <v>250314</v>
      </c>
      <c r="D70" s="74" t="s">
        <v>174</v>
      </c>
      <c r="E70" s="74" t="s">
        <v>230</v>
      </c>
      <c r="F70" s="74">
        <v>6.76</v>
      </c>
      <c r="G70" s="74">
        <v>1025</v>
      </c>
      <c r="H70" s="74">
        <v>19</v>
      </c>
      <c r="I70" s="74">
        <v>24</v>
      </c>
      <c r="J70" s="74" t="s">
        <v>151</v>
      </c>
      <c r="K70" s="74">
        <v>227.4</v>
      </c>
      <c r="L70" s="74" t="s">
        <v>255</v>
      </c>
      <c r="M70" s="74" t="s">
        <v>153</v>
      </c>
      <c r="N70" s="74" t="s">
        <v>154</v>
      </c>
      <c r="O70" s="74">
        <v>0.23</v>
      </c>
      <c r="P70" s="74">
        <v>18.600000000000001</v>
      </c>
      <c r="Q70" s="74">
        <v>0.62</v>
      </c>
      <c r="R70" s="74">
        <v>2500000</v>
      </c>
      <c r="S70" s="74" t="s">
        <v>155</v>
      </c>
      <c r="T70" s="74" t="s">
        <v>167</v>
      </c>
      <c r="U70" s="74" t="s">
        <v>157</v>
      </c>
      <c r="V70" s="74">
        <v>1500000</v>
      </c>
      <c r="W70" s="74">
        <v>1280</v>
      </c>
      <c r="X70" s="74">
        <v>32</v>
      </c>
      <c r="Y70" s="74" t="s">
        <v>158</v>
      </c>
      <c r="Z70" s="74">
        <v>9.5000000000000001E-2</v>
      </c>
      <c r="AA70" s="77">
        <v>1.2394441945600001</v>
      </c>
      <c r="AB70" s="77">
        <v>18.696795999999999</v>
      </c>
      <c r="AC70" s="77">
        <v>77.126642138393194</v>
      </c>
      <c r="AD70" s="77">
        <v>1.65047511485059E-2</v>
      </c>
      <c r="AE70" s="77">
        <v>23.717757897786001</v>
      </c>
      <c r="AF70" s="77">
        <v>57.944923465194101</v>
      </c>
      <c r="AG70" s="77">
        <v>1.7400125935498101</v>
      </c>
      <c r="AH70" s="77">
        <v>2.6583999999999999</v>
      </c>
      <c r="AI70" s="77">
        <v>944.10876132930503</v>
      </c>
      <c r="AJ70" s="77">
        <v>0.91320000000000001</v>
      </c>
      <c r="AK70" s="77">
        <v>0.316</v>
      </c>
      <c r="AL70" s="77">
        <v>123944</v>
      </c>
      <c r="AM70" s="77">
        <v>291.84699999999998</v>
      </c>
      <c r="AN70" s="77">
        <v>1.4794799999999999</v>
      </c>
      <c r="AO70" s="77">
        <v>210090</v>
      </c>
      <c r="AP70" s="77">
        <v>293866</v>
      </c>
      <c r="AQ70" s="77">
        <v>287.05399999999997</v>
      </c>
      <c r="AR70" s="77">
        <v>1.39053</v>
      </c>
      <c r="AS70" s="77">
        <v>1022.1</v>
      </c>
      <c r="AT70" s="77">
        <v>341.26400000000001</v>
      </c>
      <c r="AU70" s="77">
        <v>6770.25</v>
      </c>
      <c r="AV70" s="77">
        <v>0</v>
      </c>
      <c r="AW70" s="77">
        <v>0</v>
      </c>
      <c r="AX70" s="77">
        <v>1085280</v>
      </c>
      <c r="AY70" s="77">
        <v>692.55399999999997</v>
      </c>
      <c r="AZ70" s="77">
        <v>5.4592400000000003</v>
      </c>
      <c r="BA70" s="77">
        <v>508007</v>
      </c>
      <c r="BB70" s="77">
        <v>706805</v>
      </c>
      <c r="BC70" s="77">
        <v>287.05</v>
      </c>
      <c r="BD70" s="77">
        <v>1.36528</v>
      </c>
      <c r="BE70" s="77">
        <v>1072.8900000000001</v>
      </c>
      <c r="BF70" s="77">
        <v>521.02300000000002</v>
      </c>
      <c r="BG70" s="77">
        <v>7045.59</v>
      </c>
      <c r="BH70" s="77">
        <v>255.857</v>
      </c>
      <c r="BI70" s="77">
        <v>0.49106661318214401</v>
      </c>
      <c r="BJ70" s="77">
        <v>5063010</v>
      </c>
      <c r="BK70" s="77">
        <v>1130.82</v>
      </c>
      <c r="BL70" s="77">
        <v>15.5977</v>
      </c>
      <c r="BM70" s="77">
        <v>874026</v>
      </c>
      <c r="BN70" s="77">
        <v>1198630</v>
      </c>
      <c r="BO70" s="77">
        <v>287.04899999999998</v>
      </c>
      <c r="BP70" s="77">
        <v>1.3273699999999999</v>
      </c>
      <c r="BQ70" s="77">
        <v>1163.8900000000001</v>
      </c>
      <c r="BR70" s="77">
        <v>656.09699999999998</v>
      </c>
      <c r="BS70" s="77">
        <v>7151.98</v>
      </c>
      <c r="BT70" s="77">
        <v>0</v>
      </c>
      <c r="BU70" s="77">
        <v>0</v>
      </c>
      <c r="BV70" s="77">
        <v>5794490</v>
      </c>
      <c r="BW70" s="77">
        <v>1168.94</v>
      </c>
      <c r="BX70" s="77">
        <v>17.268999999999998</v>
      </c>
      <c r="BY70" s="77">
        <v>907645</v>
      </c>
      <c r="BZ70" s="77">
        <v>1243190</v>
      </c>
      <c r="CA70" s="77">
        <v>287.048</v>
      </c>
      <c r="CB70" s="77">
        <v>1.3252999999999999</v>
      </c>
      <c r="CC70" s="77">
        <v>1169.47</v>
      </c>
      <c r="CD70" s="77">
        <v>666.46900000000005</v>
      </c>
      <c r="CE70" s="77">
        <v>7151.98</v>
      </c>
      <c r="CF70" s="77">
        <v>0</v>
      </c>
      <c r="CG70" s="77">
        <v>0</v>
      </c>
      <c r="CH70" s="77">
        <v>3124040</v>
      </c>
      <c r="CI70" s="77">
        <v>1002.96</v>
      </c>
      <c r="CJ70" s="77">
        <v>10.8512</v>
      </c>
      <c r="CK70" s="77">
        <v>763036</v>
      </c>
      <c r="CL70" s="77">
        <v>1050930</v>
      </c>
      <c r="CM70" s="77">
        <v>287.048</v>
      </c>
      <c r="CN70" s="77">
        <v>1.3361000000000001</v>
      </c>
      <c r="CO70" s="77">
        <v>1141.1099999999999</v>
      </c>
      <c r="CP70" s="77">
        <v>620.08699999999999</v>
      </c>
      <c r="CQ70" s="77">
        <v>7151.98</v>
      </c>
      <c r="CR70" s="77">
        <v>620.08600000000001</v>
      </c>
      <c r="CS70" s="77">
        <v>0.999998387323069</v>
      </c>
      <c r="CT70" s="77">
        <v>1449.63</v>
      </c>
      <c r="CU70" s="77">
        <v>122.77</v>
      </c>
      <c r="CV70" s="77">
        <v>4.1136199999999998E-2</v>
      </c>
      <c r="CW70" s="77">
        <v>88377.9</v>
      </c>
      <c r="CX70" s="77">
        <v>123618</v>
      </c>
      <c r="CY70" s="77">
        <v>287.03800000000001</v>
      </c>
      <c r="CZ70" s="77">
        <v>1.3905000000000001</v>
      </c>
      <c r="DA70" s="77">
        <v>1022.08</v>
      </c>
      <c r="DB70" s="77">
        <v>221.34100000000001</v>
      </c>
      <c r="DC70" s="77">
        <v>7151.98</v>
      </c>
      <c r="DD70" s="77">
        <v>1496.38</v>
      </c>
      <c r="DE70" s="77">
        <v>6.7604899999999999</v>
      </c>
      <c r="DF70" s="78">
        <f t="shared" si="29"/>
        <v>7241222.9890538044</v>
      </c>
      <c r="DG70" s="78">
        <f t="shared" si="30"/>
        <v>1243194.5522000003</v>
      </c>
      <c r="DH70" s="79" t="s">
        <v>257</v>
      </c>
      <c r="DK70" s="74">
        <v>1535</v>
      </c>
      <c r="DL70" s="80">
        <f>DK70+AK70/1000*V70</f>
        <v>2009</v>
      </c>
      <c r="DM70" s="80">
        <f>DL70+AH70/1000*V70</f>
        <v>5996.6</v>
      </c>
      <c r="DU70" s="74">
        <v>5.9179945199999997</v>
      </c>
      <c r="DV70" s="74">
        <f t="shared" si="19"/>
        <v>7.1655918495111992E-2</v>
      </c>
      <c r="DW70" s="74">
        <f t="shared" si="20"/>
        <v>155.61559483510001</v>
      </c>
      <c r="DX70" s="74">
        <f t="shared" si="21"/>
        <v>249.1967066075353</v>
      </c>
      <c r="DY70" s="74">
        <f t="shared" si="22"/>
        <v>1474.7447441054417</v>
      </c>
      <c r="DZ70" s="78">
        <f t="shared" si="23"/>
        <v>9935054.6348597817</v>
      </c>
      <c r="EA70" s="74">
        <v>5.7739619199999996</v>
      </c>
      <c r="EB70" s="74">
        <f t="shared" si="24"/>
        <v>7.5928353022451989E-2</v>
      </c>
      <c r="EC70" s="74">
        <f t="shared" si="25"/>
        <v>162.47281374140002</v>
      </c>
      <c r="ED70" s="74">
        <f t="shared" si="26"/>
        <v>254.62796002764165</v>
      </c>
      <c r="EE70" s="74">
        <f t="shared" si="27"/>
        <v>1470.212144966885</v>
      </c>
      <c r="EF70" s="78">
        <f t="shared" si="28"/>
        <v>10090729.278380303</v>
      </c>
    </row>
    <row r="71" spans="1:136" s="74" customFormat="1">
      <c r="A71" s="99">
        <v>69</v>
      </c>
      <c r="B71" s="74" t="s">
        <v>256</v>
      </c>
      <c r="C71" s="74">
        <v>250314</v>
      </c>
      <c r="D71" s="74" t="s">
        <v>174</v>
      </c>
      <c r="E71" s="74" t="s">
        <v>230</v>
      </c>
      <c r="F71" s="74">
        <v>6.76</v>
      </c>
      <c r="G71" s="74">
        <v>1025</v>
      </c>
      <c r="H71" s="74">
        <v>19</v>
      </c>
      <c r="I71" s="74">
        <v>24</v>
      </c>
      <c r="J71" s="74" t="s">
        <v>151</v>
      </c>
      <c r="K71" s="74">
        <v>225</v>
      </c>
      <c r="L71" s="74" t="s">
        <v>240</v>
      </c>
      <c r="M71" s="74" t="s">
        <v>153</v>
      </c>
      <c r="N71" s="74" t="s">
        <v>154</v>
      </c>
      <c r="O71" s="74">
        <v>0.36</v>
      </c>
      <c r="P71" s="74">
        <v>18.2</v>
      </c>
      <c r="Q71" s="74">
        <v>0.64</v>
      </c>
      <c r="R71" s="74">
        <v>2500000</v>
      </c>
      <c r="S71" s="74" t="s">
        <v>155</v>
      </c>
      <c r="T71" s="74" t="s">
        <v>167</v>
      </c>
      <c r="U71" s="74" t="s">
        <v>157</v>
      </c>
      <c r="V71" s="74">
        <v>1500000</v>
      </c>
      <c r="W71" s="74">
        <v>1280</v>
      </c>
      <c r="X71" s="74">
        <v>32</v>
      </c>
      <c r="Y71" s="74" t="s">
        <v>158</v>
      </c>
      <c r="Z71" s="74">
        <v>9.5000000000000001E-2</v>
      </c>
      <c r="AA71" s="77">
        <v>1.36329518656</v>
      </c>
      <c r="AB71" s="77">
        <v>18.331455999999999</v>
      </c>
      <c r="AC71" s="77">
        <v>38.425878675614598</v>
      </c>
      <c r="AD71" s="77">
        <v>2.2940875158144001E-2</v>
      </c>
      <c r="AE71" s="77">
        <v>24.254068143696099</v>
      </c>
      <c r="AF71" s="77">
        <v>32.796420420728197</v>
      </c>
      <c r="AG71" s="77">
        <v>0.99067263196643995</v>
      </c>
      <c r="AH71" s="77">
        <v>2.6676000000000002</v>
      </c>
      <c r="AI71" s="77">
        <v>762.66015863331302</v>
      </c>
      <c r="AJ71" s="77">
        <v>1.1372</v>
      </c>
      <c r="AK71" s="77">
        <v>0.31559999999999999</v>
      </c>
      <c r="AL71" s="77">
        <v>136330</v>
      </c>
      <c r="AM71" s="77">
        <v>291.48099999999999</v>
      </c>
      <c r="AN71" s="77">
        <v>1.6293599999999999</v>
      </c>
      <c r="AO71" s="77">
        <v>209827</v>
      </c>
      <c r="AP71" s="77">
        <v>293497</v>
      </c>
      <c r="AQ71" s="77">
        <v>287.053</v>
      </c>
      <c r="AR71" s="77">
        <v>1.39052</v>
      </c>
      <c r="AS71" s="77">
        <v>1022.1</v>
      </c>
      <c r="AT71" s="77">
        <v>341.05099999999999</v>
      </c>
      <c r="AU71" s="77">
        <v>6741.73</v>
      </c>
      <c r="AV71" s="77">
        <v>0</v>
      </c>
      <c r="AW71" s="77">
        <v>0</v>
      </c>
      <c r="AX71" s="77">
        <v>769527</v>
      </c>
      <c r="AY71" s="77">
        <v>546.02599999999995</v>
      </c>
      <c r="AZ71" s="77">
        <v>4.9096200000000003</v>
      </c>
      <c r="BA71" s="77">
        <v>395553</v>
      </c>
      <c r="BB71" s="77">
        <v>552291</v>
      </c>
      <c r="BC71" s="77">
        <v>287.05399999999997</v>
      </c>
      <c r="BD71" s="77">
        <v>1.3813800000000001</v>
      </c>
      <c r="BE71" s="77">
        <v>1039.72</v>
      </c>
      <c r="BF71" s="77">
        <v>465.34199999999998</v>
      </c>
      <c r="BG71" s="77">
        <v>6893.54</v>
      </c>
      <c r="BH71" s="77">
        <v>253.10499999999999</v>
      </c>
      <c r="BI71" s="77">
        <v>0.54391178960850295</v>
      </c>
      <c r="BJ71" s="77">
        <v>2903530</v>
      </c>
      <c r="BK71" s="77">
        <v>830.71699999999998</v>
      </c>
      <c r="BL71" s="77">
        <v>12.176299999999999</v>
      </c>
      <c r="BM71" s="77">
        <v>618793</v>
      </c>
      <c r="BN71" s="77">
        <v>857249</v>
      </c>
      <c r="BO71" s="77">
        <v>287.04899999999998</v>
      </c>
      <c r="BP71" s="77">
        <v>1.3506499999999999</v>
      </c>
      <c r="BQ71" s="77">
        <v>1105.68</v>
      </c>
      <c r="BR71" s="77">
        <v>567.48699999999997</v>
      </c>
      <c r="BS71" s="77">
        <v>6961.26</v>
      </c>
      <c r="BT71" s="77">
        <v>0</v>
      </c>
      <c r="BU71" s="77">
        <v>0</v>
      </c>
      <c r="BV71" s="77">
        <v>3279640</v>
      </c>
      <c r="BW71" s="77">
        <v>857.38</v>
      </c>
      <c r="BX71" s="77">
        <v>13.325900000000001</v>
      </c>
      <c r="BY71" s="77">
        <v>640727</v>
      </c>
      <c r="BZ71" s="77">
        <v>886837</v>
      </c>
      <c r="CA71" s="77">
        <v>287.04899999999998</v>
      </c>
      <c r="CB71" s="77">
        <v>1.34829</v>
      </c>
      <c r="CC71" s="77">
        <v>1111.23</v>
      </c>
      <c r="CD71" s="77">
        <v>576.01900000000001</v>
      </c>
      <c r="CE71" s="77">
        <v>6961.26</v>
      </c>
      <c r="CF71" s="77">
        <v>0</v>
      </c>
      <c r="CG71" s="77">
        <v>0</v>
      </c>
      <c r="CH71" s="77">
        <v>1751800</v>
      </c>
      <c r="CI71" s="77">
        <v>727.59799999999996</v>
      </c>
      <c r="CJ71" s="77">
        <v>8.3875100000000007</v>
      </c>
      <c r="CK71" s="77">
        <v>535777</v>
      </c>
      <c r="CL71" s="77">
        <v>744635</v>
      </c>
      <c r="CM71" s="77">
        <v>287.05200000000002</v>
      </c>
      <c r="CN71" s="77">
        <v>1.36147</v>
      </c>
      <c r="CO71" s="77">
        <v>1081.18</v>
      </c>
      <c r="CP71" s="77">
        <v>533.29700000000003</v>
      </c>
      <c r="CQ71" s="77">
        <v>6961.26</v>
      </c>
      <c r="CR71" s="77">
        <v>533.29700000000003</v>
      </c>
      <c r="CS71" s="77">
        <v>1</v>
      </c>
      <c r="CT71" s="77">
        <v>839.56700000000001</v>
      </c>
      <c r="CU71" s="77">
        <v>87.597700000000003</v>
      </c>
      <c r="CV71" s="77">
        <v>3.33923E-2</v>
      </c>
      <c r="CW71" s="77">
        <v>63058.3</v>
      </c>
      <c r="CX71" s="77">
        <v>88200.9</v>
      </c>
      <c r="CY71" s="77">
        <v>287.02300000000002</v>
      </c>
      <c r="CZ71" s="77">
        <v>1.3904799999999999</v>
      </c>
      <c r="DA71" s="77">
        <v>1022.07</v>
      </c>
      <c r="DB71" s="77">
        <v>186.965</v>
      </c>
      <c r="DC71" s="77">
        <v>6961.27</v>
      </c>
      <c r="DD71" s="77">
        <v>1263.83</v>
      </c>
      <c r="DE71" s="77">
        <v>6.7597199999999997</v>
      </c>
      <c r="DF71" s="78">
        <f t="shared" si="29"/>
        <v>6997865.9008299625</v>
      </c>
      <c r="DG71" s="78">
        <f t="shared" si="30"/>
        <v>886834.03444999992</v>
      </c>
      <c r="DH71" s="79" t="s">
        <v>258</v>
      </c>
      <c r="DK71" s="74">
        <v>1557</v>
      </c>
      <c r="DL71" s="80">
        <f>DK71+AK71/1000*V71</f>
        <v>2030.4</v>
      </c>
      <c r="DM71" s="80">
        <f>DL71+AH71/1000*V71</f>
        <v>6031.8</v>
      </c>
      <c r="DU71" s="74">
        <v>5.9179945199999997</v>
      </c>
      <c r="DV71" s="74">
        <f t="shared" ref="DV71:DV107" si="32">1.74191876*CV71</f>
        <v>5.8166673809547993E-2</v>
      </c>
      <c r="DW71" s="74">
        <f t="shared" ref="DW71:DW107" si="33">CU71*1.26753763</f>
        <v>111.03338105145102</v>
      </c>
      <c r="DX71" s="74">
        <f t="shared" ref="DX71:DX107" si="34">DB71*( 1.26753763)^0.5</f>
        <v>210.49449605304864</v>
      </c>
      <c r="DY71" s="74">
        <f t="shared" ref="DY71:DY102" si="35">DX71*DU71</f>
        <v>1245.7052741321033</v>
      </c>
      <c r="DZ71" s="78">
        <f t="shared" ref="DZ71:DZ102" si="36">DV71*DY71/(0.00001716*(DW71/273)^1.5*(273+111)/(DW71+111))</f>
        <v>9412888.6480012033</v>
      </c>
      <c r="EA71" s="74">
        <v>5.7739619199999996</v>
      </c>
      <c r="EB71" s="74">
        <f t="shared" ref="EB71:EB107" si="37">1.84577946*CV71</f>
        <v>6.1634821462157999E-2</v>
      </c>
      <c r="EC71" s="74">
        <f t="shared" ref="EC71:EC107" si="38">CU71* 1.32339182</f>
        <v>115.92607963081402</v>
      </c>
      <c r="ED71" s="74">
        <f t="shared" ref="ED71:ED107" si="39">DB71*( 1.32339182)^0.5</f>
        <v>215.08223305473464</v>
      </c>
      <c r="EE71" s="74">
        <f t="shared" ref="EE71:EE102" si="40">ED71*EA71</f>
        <v>1241.8766233266031</v>
      </c>
      <c r="EF71" s="78">
        <f t="shared" ref="EF71:EF102" si="41">EB71*EE71/(0.00001716*(EC71/273)^1.5*(273+111)/(EC71+111))</f>
        <v>9526047.520237416</v>
      </c>
    </row>
    <row r="72" spans="1:136" s="3" customFormat="1">
      <c r="A72" s="85">
        <v>70</v>
      </c>
      <c r="B72" s="3" t="s">
        <v>173</v>
      </c>
      <c r="C72" s="3">
        <v>250321</v>
      </c>
      <c r="D72" s="3" t="s">
        <v>174</v>
      </c>
      <c r="E72" s="3" t="s">
        <v>230</v>
      </c>
      <c r="F72" s="3">
        <v>6.76</v>
      </c>
      <c r="G72" s="3">
        <v>1010</v>
      </c>
      <c r="H72" s="3">
        <v>21.5</v>
      </c>
      <c r="I72" s="3">
        <v>37.700000000000003</v>
      </c>
      <c r="J72" s="3" t="s">
        <v>151</v>
      </c>
      <c r="K72" s="3">
        <v>214.8</v>
      </c>
      <c r="L72" s="3" t="s">
        <v>255</v>
      </c>
      <c r="M72" s="3" t="s">
        <v>153</v>
      </c>
      <c r="N72" s="3" t="s">
        <v>154</v>
      </c>
      <c r="O72" s="3">
        <v>0.21</v>
      </c>
      <c r="P72" s="3">
        <v>21.2</v>
      </c>
      <c r="Q72" s="3">
        <v>0.76</v>
      </c>
      <c r="R72" s="3">
        <v>2500000</v>
      </c>
      <c r="S72" s="3" t="s">
        <v>155</v>
      </c>
      <c r="T72" s="3" t="s">
        <v>170</v>
      </c>
      <c r="U72" s="3" t="s">
        <v>157</v>
      </c>
      <c r="V72" s="3">
        <v>1500000</v>
      </c>
      <c r="W72" s="3">
        <v>1280</v>
      </c>
      <c r="X72" s="3">
        <v>32</v>
      </c>
      <c r="Y72" s="3" t="s">
        <v>158</v>
      </c>
      <c r="Z72" s="3">
        <v>9.5000000000000001E-2</v>
      </c>
      <c r="AA72" s="18">
        <v>1.2213395113600001</v>
      </c>
      <c r="AB72" s="18">
        <v>21.355419999999999</v>
      </c>
      <c r="AC72" s="18">
        <v>71.120530862925904</v>
      </c>
      <c r="AD72" s="18">
        <v>2.0882563332763001E-2</v>
      </c>
      <c r="AE72" s="18">
        <v>27.327364647182499</v>
      </c>
      <c r="AF72" s="18">
        <v>53.421630865265797</v>
      </c>
      <c r="AG72" s="18">
        <v>1.6107969904761199</v>
      </c>
      <c r="AH72" s="18">
        <v>2.5019999999999998</v>
      </c>
      <c r="AI72" s="18">
        <v>927.98812175204205</v>
      </c>
      <c r="AJ72" s="18">
        <v>0.96120000000000005</v>
      </c>
      <c r="AK72" s="18">
        <v>0.31559999999999999</v>
      </c>
      <c r="AL72" s="18">
        <v>122134</v>
      </c>
      <c r="AM72" s="18">
        <v>294.505</v>
      </c>
      <c r="AN72" s="18">
        <v>1.4447000000000001</v>
      </c>
      <c r="AO72" s="18">
        <v>212004</v>
      </c>
      <c r="AP72" s="18">
        <v>296543</v>
      </c>
      <c r="AQ72" s="18">
        <v>287.05500000000001</v>
      </c>
      <c r="AR72" s="18">
        <v>1.39053</v>
      </c>
      <c r="AS72" s="18">
        <v>1022.1</v>
      </c>
      <c r="AT72" s="18">
        <v>342.815</v>
      </c>
      <c r="AU72" s="18">
        <v>6783.83</v>
      </c>
      <c r="AV72" s="18">
        <v>0</v>
      </c>
      <c r="AW72" s="18">
        <v>0</v>
      </c>
      <c r="AX72" s="18">
        <v>1022760</v>
      </c>
      <c r="AY72" s="18">
        <v>680.92600000000004</v>
      </c>
      <c r="AZ72" s="18">
        <v>5.2325600000000003</v>
      </c>
      <c r="BA72" s="18">
        <v>498841</v>
      </c>
      <c r="BB72" s="18">
        <v>694300</v>
      </c>
      <c r="BC72" s="18">
        <v>287.05</v>
      </c>
      <c r="BD72" s="18">
        <v>1.3665499999999999</v>
      </c>
      <c r="BE72" s="18">
        <v>1070.1600000000001</v>
      </c>
      <c r="BF72" s="18">
        <v>516.86800000000005</v>
      </c>
      <c r="BG72" s="18">
        <v>7044.49</v>
      </c>
      <c r="BH72" s="18">
        <v>256.21600000000001</v>
      </c>
      <c r="BI72" s="18">
        <v>0.49570876897002702</v>
      </c>
      <c r="BJ72" s="18">
        <v>4679570</v>
      </c>
      <c r="BK72" s="18">
        <v>1104.1500000000001</v>
      </c>
      <c r="BL72" s="18">
        <v>14.7646</v>
      </c>
      <c r="BM72" s="18">
        <v>850621</v>
      </c>
      <c r="BN72" s="18">
        <v>1167570</v>
      </c>
      <c r="BO72" s="18">
        <v>287.04899999999998</v>
      </c>
      <c r="BP72" s="18">
        <v>1.3290599999999999</v>
      </c>
      <c r="BQ72" s="18">
        <v>1159.3900000000001</v>
      </c>
      <c r="BR72" s="18">
        <v>648.774</v>
      </c>
      <c r="BS72" s="18">
        <v>7146.78</v>
      </c>
      <c r="BT72" s="18">
        <v>0</v>
      </c>
      <c r="BU72" s="18">
        <v>0</v>
      </c>
      <c r="BV72" s="18">
        <v>5342160</v>
      </c>
      <c r="BW72" s="18">
        <v>1140.77</v>
      </c>
      <c r="BX72" s="18">
        <v>16.3141</v>
      </c>
      <c r="BY72" s="18">
        <v>882771</v>
      </c>
      <c r="BZ72" s="18">
        <v>1210230</v>
      </c>
      <c r="CA72" s="18">
        <v>287.04899999999998</v>
      </c>
      <c r="CB72" s="18">
        <v>1.32683</v>
      </c>
      <c r="CC72" s="18">
        <v>1165.3399999999999</v>
      </c>
      <c r="CD72" s="18">
        <v>658.82399999999996</v>
      </c>
      <c r="CE72" s="18">
        <v>7146.78</v>
      </c>
      <c r="CF72" s="18">
        <v>0</v>
      </c>
      <c r="CG72" s="18">
        <v>0</v>
      </c>
      <c r="CH72" s="18">
        <v>2878860</v>
      </c>
      <c r="CI72" s="18">
        <v>978.005</v>
      </c>
      <c r="CJ72" s="18">
        <v>10.2547</v>
      </c>
      <c r="CK72" s="18">
        <v>741766</v>
      </c>
      <c r="CL72" s="18">
        <v>1022500</v>
      </c>
      <c r="CM72" s="18">
        <v>287.04899999999998</v>
      </c>
      <c r="CN72" s="18">
        <v>1.33785</v>
      </c>
      <c r="CO72" s="18">
        <v>1136.67</v>
      </c>
      <c r="CP72" s="18">
        <v>612.74199999999996</v>
      </c>
      <c r="CQ72" s="18">
        <v>7146.78</v>
      </c>
      <c r="CR72" s="18">
        <v>612.74199999999996</v>
      </c>
      <c r="CS72" s="18">
        <v>1</v>
      </c>
      <c r="CT72" s="18">
        <v>1342.15</v>
      </c>
      <c r="CU72" s="18">
        <v>119.53400000000001</v>
      </c>
      <c r="CV72" s="18">
        <v>3.9117899999999997E-2</v>
      </c>
      <c r="CW72" s="18">
        <v>86048.4</v>
      </c>
      <c r="CX72" s="18">
        <v>120359</v>
      </c>
      <c r="CY72" s="18">
        <v>287.03399999999999</v>
      </c>
      <c r="CZ72" s="18">
        <v>1.3905000000000001</v>
      </c>
      <c r="DA72" s="18">
        <v>1022.08</v>
      </c>
      <c r="DB72" s="18">
        <v>218.404</v>
      </c>
      <c r="DC72" s="18">
        <v>7146.78</v>
      </c>
      <c r="DD72" s="18">
        <v>1476.39</v>
      </c>
      <c r="DE72" s="18">
        <v>6.7599</v>
      </c>
      <c r="DF72" s="86">
        <f t="shared" si="29"/>
        <v>6973806.5573317129</v>
      </c>
      <c r="DG72" s="86">
        <f t="shared" si="30"/>
        <v>1210222.7160500002</v>
      </c>
      <c r="DH72" s="64"/>
      <c r="DL72" s="65"/>
      <c r="DM72" s="65"/>
      <c r="DU72" s="2">
        <v>5.9179945199999997</v>
      </c>
      <c r="DV72" s="2">
        <f t="shared" si="32"/>
        <v>6.8140203861803986E-2</v>
      </c>
      <c r="DW72" s="2">
        <f t="shared" si="33"/>
        <v>151.51384306442003</v>
      </c>
      <c r="DX72" s="2">
        <f t="shared" si="34"/>
        <v>245.89008593036147</v>
      </c>
      <c r="DY72" s="2">
        <f t="shared" si="35"/>
        <v>1455.1761810582082</v>
      </c>
      <c r="DZ72" s="19">
        <f t="shared" si="36"/>
        <v>9554065.3500404824</v>
      </c>
      <c r="EA72" s="2">
        <v>5.7739619199999996</v>
      </c>
      <c r="EB72" s="2">
        <f t="shared" si="37"/>
        <v>7.2203016338333995E-2</v>
      </c>
      <c r="EC72" s="2">
        <f t="shared" si="38"/>
        <v>158.19031781188002</v>
      </c>
      <c r="ED72" s="2">
        <f t="shared" si="39"/>
        <v>251.24927140420007</v>
      </c>
      <c r="EE72" s="2">
        <f t="shared" si="40"/>
        <v>1450.703725515596</v>
      </c>
      <c r="EF72" s="19">
        <f t="shared" si="41"/>
        <v>9701058.3620414678</v>
      </c>
    </row>
    <row r="73" spans="1:136">
      <c r="A73" s="9">
        <v>71</v>
      </c>
      <c r="B73" s="2" t="s">
        <v>173</v>
      </c>
      <c r="C73" s="2">
        <v>250321</v>
      </c>
      <c r="D73" s="2" t="s">
        <v>174</v>
      </c>
      <c r="E73" s="2" t="s">
        <v>230</v>
      </c>
      <c r="F73" s="2">
        <v>6.76</v>
      </c>
      <c r="G73" s="2">
        <v>1009.9</v>
      </c>
      <c r="H73" s="2">
        <v>19.5</v>
      </c>
      <c r="I73" s="2">
        <v>39.700000000000003</v>
      </c>
      <c r="J73" s="2" t="s">
        <v>151</v>
      </c>
      <c r="K73" s="2">
        <v>177.5</v>
      </c>
      <c r="L73" s="2" t="s">
        <v>240</v>
      </c>
      <c r="M73" s="2" t="s">
        <v>153</v>
      </c>
      <c r="N73" s="2" t="s">
        <v>154</v>
      </c>
      <c r="O73" s="2">
        <v>0.39</v>
      </c>
      <c r="P73" s="2">
        <v>21.4</v>
      </c>
      <c r="Q73" s="2">
        <v>0.73</v>
      </c>
      <c r="R73" s="2">
        <v>2500000</v>
      </c>
      <c r="S73" s="2" t="s">
        <v>155</v>
      </c>
      <c r="T73" s="2" t="s">
        <v>170</v>
      </c>
      <c r="U73" s="2" t="s">
        <v>157</v>
      </c>
      <c r="V73" s="2">
        <v>1500000</v>
      </c>
      <c r="W73" s="2">
        <v>1280</v>
      </c>
      <c r="X73" s="2">
        <v>32</v>
      </c>
      <c r="Y73" s="2" t="s">
        <v>158</v>
      </c>
      <c r="Z73" s="2">
        <v>9.5000000000000001E-2</v>
      </c>
      <c r="AA73" s="17">
        <v>1.39147513696</v>
      </c>
      <c r="AB73" s="17">
        <v>21.527452</v>
      </c>
      <c r="AC73" s="17">
        <v>38.306499134011602</v>
      </c>
      <c r="AD73" s="17">
        <v>2.2505169870238401E-2</v>
      </c>
      <c r="AE73" s="17">
        <v>24.6290138755569</v>
      </c>
      <c r="AF73" s="17">
        <v>35.912253436047102</v>
      </c>
      <c r="AG73" s="17">
        <v>1.1006192311482199</v>
      </c>
      <c r="AH73" s="17">
        <v>2.6316000000000002</v>
      </c>
      <c r="AI73" s="17">
        <v>789.14141414141397</v>
      </c>
      <c r="AJ73" s="17">
        <v>1.1108</v>
      </c>
      <c r="AK73" s="17">
        <v>0.316</v>
      </c>
      <c r="AL73" s="17">
        <v>139148</v>
      </c>
      <c r="AM73" s="17">
        <v>294.67700000000002</v>
      </c>
      <c r="AN73" s="17">
        <v>1.645</v>
      </c>
      <c r="AO73" s="17">
        <v>212127</v>
      </c>
      <c r="AP73" s="17">
        <v>296715</v>
      </c>
      <c r="AQ73" s="17">
        <v>287.053</v>
      </c>
      <c r="AR73" s="17">
        <v>1.39052</v>
      </c>
      <c r="AS73" s="17">
        <v>1022.1</v>
      </c>
      <c r="AT73" s="17">
        <v>342.91500000000002</v>
      </c>
      <c r="AU73" s="17">
        <v>6747.14</v>
      </c>
      <c r="AV73" s="17">
        <v>0</v>
      </c>
      <c r="AW73" s="17">
        <v>0</v>
      </c>
      <c r="AX73" s="17">
        <v>833676</v>
      </c>
      <c r="AY73" s="17">
        <v>568.53800000000001</v>
      </c>
      <c r="AZ73" s="17">
        <v>5.1082999999999998</v>
      </c>
      <c r="BA73" s="17">
        <v>412598</v>
      </c>
      <c r="BB73" s="17">
        <v>575798</v>
      </c>
      <c r="BC73" s="17">
        <v>287.053</v>
      </c>
      <c r="BD73" s="17">
        <v>1.37886</v>
      </c>
      <c r="BE73" s="17">
        <v>1044.73</v>
      </c>
      <c r="BF73" s="17">
        <v>474.416</v>
      </c>
      <c r="BG73" s="17">
        <v>6912.64</v>
      </c>
      <c r="BH73" s="17">
        <v>254.124</v>
      </c>
      <c r="BI73" s="17">
        <v>0.53565647027081698</v>
      </c>
      <c r="BJ73" s="17">
        <v>3247170</v>
      </c>
      <c r="BK73" s="17">
        <v>873.91300000000001</v>
      </c>
      <c r="BL73" s="17">
        <v>12.9444</v>
      </c>
      <c r="BM73" s="17">
        <v>654400</v>
      </c>
      <c r="BN73" s="17">
        <v>905256</v>
      </c>
      <c r="BO73" s="17">
        <v>287.04899999999998</v>
      </c>
      <c r="BP73" s="17">
        <v>1.34683</v>
      </c>
      <c r="BQ73" s="17">
        <v>1114.69</v>
      </c>
      <c r="BR73" s="17">
        <v>581.23</v>
      </c>
      <c r="BS73" s="17">
        <v>6985.37</v>
      </c>
      <c r="BT73" s="17">
        <v>0</v>
      </c>
      <c r="BU73" s="17">
        <v>0</v>
      </c>
      <c r="BV73" s="17">
        <v>3591230</v>
      </c>
      <c r="BW73" s="17">
        <v>896.82100000000003</v>
      </c>
      <c r="BX73" s="17">
        <v>13.950200000000001</v>
      </c>
      <c r="BY73" s="17">
        <v>673436</v>
      </c>
      <c r="BZ73" s="17">
        <v>930868</v>
      </c>
      <c r="CA73" s="17">
        <v>287.04899999999998</v>
      </c>
      <c r="CB73" s="17">
        <v>1.3448199999999999</v>
      </c>
      <c r="CC73" s="17">
        <v>1119.5</v>
      </c>
      <c r="CD73" s="17">
        <v>588.35199999999998</v>
      </c>
      <c r="CE73" s="17">
        <v>6985.37</v>
      </c>
      <c r="CF73" s="17">
        <v>0</v>
      </c>
      <c r="CG73" s="17">
        <v>0</v>
      </c>
      <c r="CH73" s="17">
        <v>1921050</v>
      </c>
      <c r="CI73" s="17">
        <v>762.29399999999998</v>
      </c>
      <c r="CJ73" s="17">
        <v>8.7792600000000007</v>
      </c>
      <c r="CK73" s="17">
        <v>563483</v>
      </c>
      <c r="CL73" s="17">
        <v>782300</v>
      </c>
      <c r="CM73" s="17">
        <v>287.05</v>
      </c>
      <c r="CN73" s="17">
        <v>1.3577399999999999</v>
      </c>
      <c r="CO73" s="17">
        <v>1089.44</v>
      </c>
      <c r="CP73" s="17">
        <v>545.10299999999995</v>
      </c>
      <c r="CQ73" s="17">
        <v>6985.37</v>
      </c>
      <c r="CR73" s="17">
        <v>545.10199999999998</v>
      </c>
      <c r="CS73" s="17">
        <v>0.99999816548432097</v>
      </c>
      <c r="CT73" s="17">
        <v>917.41</v>
      </c>
      <c r="CU73" s="17">
        <v>91.927899999999994</v>
      </c>
      <c r="CV73" s="17">
        <v>3.47692E-2</v>
      </c>
      <c r="CW73" s="17">
        <v>66175.5</v>
      </c>
      <c r="CX73" s="17">
        <v>92561.2</v>
      </c>
      <c r="CY73" s="17">
        <v>287.02600000000001</v>
      </c>
      <c r="CZ73" s="17">
        <v>1.39049</v>
      </c>
      <c r="DA73" s="17">
        <v>1022.07</v>
      </c>
      <c r="DB73" s="17">
        <v>191.53100000000001</v>
      </c>
      <c r="DC73" s="17">
        <v>6985.37</v>
      </c>
      <c r="DD73" s="17">
        <v>1294.8399999999999</v>
      </c>
      <c r="DE73" s="17">
        <v>6.7604899999999999</v>
      </c>
      <c r="DF73" s="19">
        <f t="shared" si="29"/>
        <v>7095402.2315360261</v>
      </c>
      <c r="DG73" s="19">
        <f t="shared" si="30"/>
        <v>930866.51279999979</v>
      </c>
      <c r="DL73" s="16"/>
      <c r="DM73" s="16"/>
      <c r="DU73" s="2">
        <v>5.9179945199999997</v>
      </c>
      <c r="DV73" s="2">
        <f t="shared" si="32"/>
        <v>6.0565121750191998E-2</v>
      </c>
      <c r="DW73" s="2">
        <f t="shared" si="33"/>
        <v>116.522072496877</v>
      </c>
      <c r="DX73" s="2">
        <f t="shared" si="34"/>
        <v>215.63512595157627</v>
      </c>
      <c r="DY73" s="2">
        <f t="shared" si="35"/>
        <v>1276.1274937009382</v>
      </c>
      <c r="DZ73" s="19">
        <f t="shared" si="36"/>
        <v>9570251.6351384223</v>
      </c>
      <c r="EA73" s="2">
        <v>5.7739619199999996</v>
      </c>
      <c r="EB73" s="2">
        <f t="shared" si="37"/>
        <v>6.4176275200632002E-2</v>
      </c>
      <c r="EC73" s="2">
        <f t="shared" si="38"/>
        <v>121.656630889778</v>
      </c>
      <c r="ED73" s="2">
        <f t="shared" si="39"/>
        <v>220.33490321293496</v>
      </c>
      <c r="EE73" s="2">
        <f t="shared" si="40"/>
        <v>1272.2053407983719</v>
      </c>
      <c r="EF73" s="19">
        <f t="shared" si="41"/>
        <v>9690338.3490959387</v>
      </c>
    </row>
    <row r="74" spans="1:136">
      <c r="A74" s="9">
        <v>72</v>
      </c>
      <c r="B74" s="2" t="s">
        <v>247</v>
      </c>
      <c r="C74" s="2">
        <v>250331</v>
      </c>
      <c r="D74" s="2" t="s">
        <v>174</v>
      </c>
      <c r="E74" s="2" t="s">
        <v>230</v>
      </c>
      <c r="F74" s="2">
        <v>6.76</v>
      </c>
      <c r="J74" s="2" t="s">
        <v>151</v>
      </c>
      <c r="K74" s="2">
        <v>247.2</v>
      </c>
      <c r="L74" s="2" t="s">
        <v>227</v>
      </c>
      <c r="M74" s="2" t="s">
        <v>153</v>
      </c>
      <c r="N74" s="2" t="s">
        <v>154</v>
      </c>
      <c r="O74" s="2">
        <v>2.42</v>
      </c>
      <c r="Q74" s="2">
        <v>0.75</v>
      </c>
      <c r="R74" s="2">
        <v>2500000</v>
      </c>
      <c r="S74" s="2" t="s">
        <v>155</v>
      </c>
      <c r="T74" s="2" t="s">
        <v>259</v>
      </c>
      <c r="U74" s="2" t="s">
        <v>157</v>
      </c>
      <c r="V74" s="2">
        <v>1500000</v>
      </c>
      <c r="W74" s="2">
        <v>1280</v>
      </c>
      <c r="X74" s="2">
        <v>32</v>
      </c>
      <c r="Y74" s="2" t="s">
        <v>158</v>
      </c>
      <c r="Z74" s="2">
        <v>9.5000000000000001E-2</v>
      </c>
      <c r="AA74" s="17">
        <v>3.42707508256</v>
      </c>
      <c r="AB74" s="17">
        <v>21.134632</v>
      </c>
      <c r="AC74" s="17">
        <v>68.0447513119977</v>
      </c>
      <c r="AD74" s="17">
        <v>1.7115161166065401E-2</v>
      </c>
      <c r="AE74" s="17">
        <v>25.4519924546235</v>
      </c>
      <c r="AF74" s="17">
        <v>65.391974417110902</v>
      </c>
      <c r="AG74" s="17">
        <v>1.97062951298773</v>
      </c>
      <c r="AH74" s="17">
        <v>1.6148</v>
      </c>
      <c r="AI74" s="17">
        <v>714.28571428571399</v>
      </c>
      <c r="AJ74" s="17">
        <v>1.0960000000000001</v>
      </c>
      <c r="AK74" s="17">
        <v>0.622</v>
      </c>
      <c r="AL74" s="17">
        <v>342708</v>
      </c>
      <c r="AM74" s="17">
        <v>294.28500000000003</v>
      </c>
      <c r="AN74" s="17">
        <v>4.0568499999999998</v>
      </c>
      <c r="AO74" s="17">
        <v>211845</v>
      </c>
      <c r="AP74" s="17">
        <v>296321</v>
      </c>
      <c r="AQ74" s="17">
        <v>287.05700000000002</v>
      </c>
      <c r="AR74" s="17">
        <v>1.39053</v>
      </c>
      <c r="AS74" s="17">
        <v>1022.1</v>
      </c>
      <c r="AT74" s="17">
        <v>342.68799999999999</v>
      </c>
      <c r="AU74" s="17">
        <v>6487.04</v>
      </c>
      <c r="AV74" s="17">
        <v>0</v>
      </c>
      <c r="AW74" s="17">
        <v>0</v>
      </c>
      <c r="AX74" s="17">
        <v>1671710</v>
      </c>
      <c r="AY74" s="17">
        <v>513.80200000000002</v>
      </c>
      <c r="AZ74" s="17">
        <v>11.3347</v>
      </c>
      <c r="BA74" s="17">
        <v>371258</v>
      </c>
      <c r="BB74" s="17">
        <v>518744</v>
      </c>
      <c r="BC74" s="17">
        <v>287.048</v>
      </c>
      <c r="BD74" s="17">
        <v>1.38503</v>
      </c>
      <c r="BE74" s="17">
        <v>1032.56</v>
      </c>
      <c r="BF74" s="17">
        <v>451.971</v>
      </c>
      <c r="BG74" s="17">
        <v>6607.83</v>
      </c>
      <c r="BH74" s="17">
        <v>255.65199999999999</v>
      </c>
      <c r="BI74" s="17">
        <v>0.56563806084903701</v>
      </c>
      <c r="BJ74" s="17">
        <v>5811270</v>
      </c>
      <c r="BK74" s="17">
        <v>759.23599999999999</v>
      </c>
      <c r="BL74" s="17">
        <v>26.6646</v>
      </c>
      <c r="BM74" s="17">
        <v>561032</v>
      </c>
      <c r="BN74" s="17">
        <v>778972</v>
      </c>
      <c r="BO74" s="17">
        <v>287.05099999999999</v>
      </c>
      <c r="BP74" s="17">
        <v>1.3580700000000001</v>
      </c>
      <c r="BQ74" s="17">
        <v>1088.71</v>
      </c>
      <c r="BR74" s="17">
        <v>544.07500000000005</v>
      </c>
      <c r="BS74" s="17">
        <v>6663.27</v>
      </c>
      <c r="BT74" s="17">
        <v>0</v>
      </c>
      <c r="BU74" s="17">
        <v>0</v>
      </c>
      <c r="BV74" s="17">
        <v>6539200</v>
      </c>
      <c r="BW74" s="17">
        <v>783.15800000000002</v>
      </c>
      <c r="BX74" s="17">
        <v>29.088100000000001</v>
      </c>
      <c r="BY74" s="17">
        <v>580246</v>
      </c>
      <c r="BZ74" s="17">
        <v>805053</v>
      </c>
      <c r="CA74" s="17">
        <v>287.05099999999999</v>
      </c>
      <c r="CB74" s="17">
        <v>1.3555299999999999</v>
      </c>
      <c r="CC74" s="17">
        <v>1094.44</v>
      </c>
      <c r="CD74" s="17">
        <v>552.04399999999998</v>
      </c>
      <c r="CE74" s="17">
        <v>6663.27</v>
      </c>
      <c r="CF74" s="17">
        <v>0</v>
      </c>
      <c r="CG74" s="17">
        <v>0</v>
      </c>
      <c r="CH74" s="17">
        <v>3490070</v>
      </c>
      <c r="CI74" s="17">
        <v>662.75800000000004</v>
      </c>
      <c r="CJ74" s="17">
        <v>18.345099999999999</v>
      </c>
      <c r="CK74" s="17">
        <v>484608</v>
      </c>
      <c r="CL74" s="17">
        <v>674853</v>
      </c>
      <c r="CM74" s="17">
        <v>287.05099999999999</v>
      </c>
      <c r="CN74" s="17">
        <v>1.3685499999999999</v>
      </c>
      <c r="CO74" s="17">
        <v>1065.93</v>
      </c>
      <c r="CP74" s="17">
        <v>510.29399999999998</v>
      </c>
      <c r="CQ74" s="17">
        <v>6663.27</v>
      </c>
      <c r="CR74" s="17">
        <v>510.29300000000001</v>
      </c>
      <c r="CS74" s="17">
        <v>0.99999804034536899</v>
      </c>
      <c r="CT74" s="17">
        <v>1659.06</v>
      </c>
      <c r="CU74" s="17">
        <v>79.511499999999998</v>
      </c>
      <c r="CV74" s="17">
        <v>7.2688000000000003E-2</v>
      </c>
      <c r="CW74" s="17">
        <v>57237.4</v>
      </c>
      <c r="CX74" s="17">
        <v>80061.7</v>
      </c>
      <c r="CY74" s="17">
        <v>287.05700000000002</v>
      </c>
      <c r="CZ74" s="17">
        <v>1.39053</v>
      </c>
      <c r="DA74" s="17">
        <v>1022.1</v>
      </c>
      <c r="DB74" s="17">
        <v>178.12700000000001</v>
      </c>
      <c r="DC74" s="17">
        <v>6663.27</v>
      </c>
      <c r="DD74" s="17">
        <v>1204.1500000000001</v>
      </c>
      <c r="DE74" s="17">
        <v>6.7600699999999998</v>
      </c>
      <c r="DF74" s="19">
        <f t="shared" si="29"/>
        <v>16099598.620235896</v>
      </c>
      <c r="DG74" s="19">
        <f t="shared" si="30"/>
        <v>805050.31125000003</v>
      </c>
      <c r="DK74" s="2">
        <v>2000</v>
      </c>
      <c r="DL74" s="16">
        <f>DK74+AK74/1000*V74</f>
        <v>2933</v>
      </c>
      <c r="DM74" s="16">
        <f>DL74+AH74/1000*V74</f>
        <v>5355.2</v>
      </c>
      <c r="DU74" s="2">
        <v>5.9179945199999997</v>
      </c>
      <c r="DV74" s="2">
        <f t="shared" si="32"/>
        <v>0.12661659082688001</v>
      </c>
      <c r="DW74" s="2">
        <f t="shared" si="33"/>
        <v>100.783818267745</v>
      </c>
      <c r="DX74" s="2">
        <f t="shared" si="34"/>
        <v>200.5442360786318</v>
      </c>
      <c r="DY74" s="2">
        <f t="shared" si="35"/>
        <v>1186.8196901309293</v>
      </c>
      <c r="DZ74" s="19">
        <f t="shared" si="36"/>
        <v>21531653.567723989</v>
      </c>
      <c r="EA74" s="2">
        <v>5.7739619199999996</v>
      </c>
      <c r="EB74" s="2">
        <f t="shared" si="37"/>
        <v>0.13416601738848</v>
      </c>
      <c r="EC74" s="2">
        <f t="shared" si="38"/>
        <v>105.22486869593001</v>
      </c>
      <c r="ED74" s="2">
        <f t="shared" si="39"/>
        <v>204.91510671698296</v>
      </c>
      <c r="EE74" s="2">
        <f t="shared" si="40"/>
        <v>1183.1720230165959</v>
      </c>
      <c r="EF74" s="19">
        <f t="shared" si="41"/>
        <v>21767769.807885833</v>
      </c>
    </row>
    <row r="75" spans="1:136">
      <c r="A75" s="9">
        <v>73</v>
      </c>
      <c r="B75" s="2" t="s">
        <v>247</v>
      </c>
      <c r="C75" s="2">
        <v>250401</v>
      </c>
      <c r="D75" s="2" t="s">
        <v>174</v>
      </c>
      <c r="E75" s="2" t="s">
        <v>230</v>
      </c>
      <c r="F75" s="2">
        <v>6.76</v>
      </c>
      <c r="G75" s="2">
        <v>1020.4</v>
      </c>
      <c r="H75" s="2">
        <v>17.5</v>
      </c>
      <c r="I75" s="2">
        <v>31.3</v>
      </c>
      <c r="J75" s="2" t="s">
        <v>151</v>
      </c>
      <c r="K75" s="2">
        <v>196.9</v>
      </c>
      <c r="L75" s="2" t="s">
        <v>260</v>
      </c>
      <c r="M75" s="2" t="s">
        <v>153</v>
      </c>
      <c r="N75" s="2" t="s">
        <v>154</v>
      </c>
      <c r="O75" s="2">
        <v>0.39</v>
      </c>
      <c r="P75" s="2">
        <v>19.7</v>
      </c>
      <c r="Q75" s="2">
        <v>0.76</v>
      </c>
      <c r="R75" s="2">
        <v>2500000</v>
      </c>
      <c r="S75" s="2" t="s">
        <v>155</v>
      </c>
      <c r="T75" s="2" t="s">
        <v>228</v>
      </c>
      <c r="U75" s="2" t="s">
        <v>157</v>
      </c>
      <c r="V75" s="2">
        <v>1500000</v>
      </c>
      <c r="W75" s="2">
        <v>1280</v>
      </c>
      <c r="X75" s="2">
        <v>32</v>
      </c>
      <c r="Y75" s="2" t="s">
        <v>158</v>
      </c>
      <c r="Z75" s="2">
        <v>9.5000000000000001E-2</v>
      </c>
      <c r="AA75" s="17">
        <v>1.39</v>
      </c>
      <c r="AB75" s="17">
        <v>21.667888000000001</v>
      </c>
      <c r="AC75" s="17">
        <v>45.017835682227599</v>
      </c>
      <c r="AD75" s="17">
        <v>1.8852305907685302E-2</v>
      </c>
      <c r="AE75" s="17">
        <v>23.993890656362101</v>
      </c>
      <c r="AF75" s="17">
        <v>43.475114541870902</v>
      </c>
      <c r="AG75" s="17">
        <v>1.3105715651960299</v>
      </c>
      <c r="AH75" s="17">
        <v>2.8271999999999999</v>
      </c>
      <c r="AI75" s="17">
        <v>835.00334001336</v>
      </c>
      <c r="AJ75" s="17">
        <v>1.0496000000000001</v>
      </c>
      <c r="AK75" s="17">
        <v>0.316</v>
      </c>
      <c r="AL75" s="17">
        <v>139000</v>
      </c>
      <c r="AM75" s="17">
        <v>294.81799999999998</v>
      </c>
      <c r="AN75" s="17">
        <v>1.6424799999999999</v>
      </c>
      <c r="AO75" s="17">
        <v>212228</v>
      </c>
      <c r="AP75" s="17">
        <v>296857</v>
      </c>
      <c r="AQ75" s="17">
        <v>287.053</v>
      </c>
      <c r="AR75" s="17">
        <v>1.39052</v>
      </c>
      <c r="AS75" s="17">
        <v>1022.1</v>
      </c>
      <c r="AT75" s="17">
        <v>342.99700000000001</v>
      </c>
      <c r="AU75" s="17">
        <v>6747.94</v>
      </c>
      <c r="AV75" s="17">
        <v>0</v>
      </c>
      <c r="AW75" s="17">
        <v>0</v>
      </c>
      <c r="AX75" s="17">
        <v>935465</v>
      </c>
      <c r="AY75" s="17">
        <v>604.18399999999997</v>
      </c>
      <c r="AZ75" s="17">
        <v>5.39384</v>
      </c>
      <c r="BA75" s="17">
        <v>439714</v>
      </c>
      <c r="BB75" s="17">
        <v>613146</v>
      </c>
      <c r="BC75" s="17">
        <v>287.05200000000002</v>
      </c>
      <c r="BD75" s="17">
        <v>1.3749100000000001</v>
      </c>
      <c r="BE75" s="17">
        <v>1052.71</v>
      </c>
      <c r="BF75" s="17">
        <v>488.37</v>
      </c>
      <c r="BG75" s="17">
        <v>6943.29</v>
      </c>
      <c r="BH75" s="17">
        <v>254.267</v>
      </c>
      <c r="BI75" s="17">
        <v>0.52064418371316801</v>
      </c>
      <c r="BJ75" s="17">
        <v>3865600</v>
      </c>
      <c r="BK75" s="17">
        <v>947.43600000000004</v>
      </c>
      <c r="BL75" s="17">
        <v>14.213900000000001</v>
      </c>
      <c r="BM75" s="17">
        <v>715879</v>
      </c>
      <c r="BN75" s="17">
        <v>987839</v>
      </c>
      <c r="BO75" s="17">
        <v>287.048</v>
      </c>
      <c r="BP75" s="17">
        <v>1.34043</v>
      </c>
      <c r="BQ75" s="17">
        <v>1130.24</v>
      </c>
      <c r="BR75" s="17">
        <v>603.70299999999997</v>
      </c>
      <c r="BS75" s="17">
        <v>7026.11</v>
      </c>
      <c r="BT75" s="17">
        <v>0</v>
      </c>
      <c r="BU75" s="17">
        <v>0</v>
      </c>
      <c r="BV75" s="17">
        <v>4347510</v>
      </c>
      <c r="BW75" s="17">
        <v>975.94600000000003</v>
      </c>
      <c r="BX75" s="17">
        <v>15.5189</v>
      </c>
      <c r="BY75" s="17">
        <v>740017</v>
      </c>
      <c r="BZ75" s="17">
        <v>1020160</v>
      </c>
      <c r="CA75" s="17">
        <v>287.048</v>
      </c>
      <c r="CB75" s="17">
        <v>1.3380000000000001</v>
      </c>
      <c r="CC75" s="17">
        <v>1136.31</v>
      </c>
      <c r="CD75" s="17">
        <v>612.13199999999995</v>
      </c>
      <c r="CE75" s="17">
        <v>7026.11</v>
      </c>
      <c r="CF75" s="17">
        <v>0</v>
      </c>
      <c r="CG75" s="17">
        <v>0</v>
      </c>
      <c r="CH75" s="17">
        <v>2332190</v>
      </c>
      <c r="CI75" s="17">
        <v>832.18399999999997</v>
      </c>
      <c r="CJ75" s="17">
        <v>9.7631700000000006</v>
      </c>
      <c r="CK75" s="17">
        <v>619995</v>
      </c>
      <c r="CL75" s="17">
        <v>858872</v>
      </c>
      <c r="CM75" s="17">
        <v>287.048</v>
      </c>
      <c r="CN75" s="17">
        <v>1.3505199999999999</v>
      </c>
      <c r="CO75" s="17">
        <v>1105.98</v>
      </c>
      <c r="CP75" s="17">
        <v>567.96</v>
      </c>
      <c r="CQ75" s="17">
        <v>7026.11</v>
      </c>
      <c r="CR75" s="17">
        <v>567.96</v>
      </c>
      <c r="CS75" s="17">
        <v>1</v>
      </c>
      <c r="CT75" s="17">
        <v>1105.1099999999999</v>
      </c>
      <c r="CU75" s="17">
        <v>100.762</v>
      </c>
      <c r="CV75" s="17">
        <v>3.8209899999999998E-2</v>
      </c>
      <c r="CW75" s="17">
        <v>72534.899999999994</v>
      </c>
      <c r="CX75" s="17">
        <v>101457</v>
      </c>
      <c r="CY75" s="17">
        <v>287.03300000000002</v>
      </c>
      <c r="CZ75" s="17">
        <v>1.3905000000000001</v>
      </c>
      <c r="DA75" s="17">
        <v>1022.08</v>
      </c>
      <c r="DB75" s="17">
        <v>200.523</v>
      </c>
      <c r="DC75" s="17">
        <v>7026.11</v>
      </c>
      <c r="DD75" s="17">
        <v>1355.51</v>
      </c>
      <c r="DE75" s="17">
        <v>6.7598799999999999</v>
      </c>
      <c r="DF75" s="19">
        <f t="shared" si="29"/>
        <v>7422957.106263116</v>
      </c>
      <c r="DG75" s="19">
        <f t="shared" si="30"/>
        <v>1020160.68005</v>
      </c>
      <c r="DL75" s="16"/>
      <c r="DM75" s="16"/>
      <c r="DU75" s="2">
        <v>5.9179945199999997</v>
      </c>
      <c r="DV75" s="2">
        <f t="shared" si="32"/>
        <v>6.6558541627723997E-2</v>
      </c>
      <c r="DW75" s="2">
        <f t="shared" si="33"/>
        <v>127.71962667406001</v>
      </c>
      <c r="DX75" s="2">
        <f t="shared" si="34"/>
        <v>225.75876678547039</v>
      </c>
      <c r="DY75" s="2">
        <f t="shared" si="35"/>
        <v>1336.0391446783717</v>
      </c>
      <c r="DZ75" s="19">
        <f t="shared" si="36"/>
        <v>10067464.547382899</v>
      </c>
      <c r="EA75" s="2">
        <v>5.7739619199999996</v>
      </c>
      <c r="EB75" s="2">
        <f t="shared" si="37"/>
        <v>7.0527048588653996E-2</v>
      </c>
      <c r="EC75" s="2">
        <f t="shared" si="38"/>
        <v>133.34760656684</v>
      </c>
      <c r="ED75" s="2">
        <f t="shared" si="39"/>
        <v>230.67918925378842</v>
      </c>
      <c r="EE75" s="2">
        <f t="shared" si="40"/>
        <v>1331.9328544878474</v>
      </c>
      <c r="EF75" s="19">
        <f t="shared" si="41"/>
        <v>10203842.726332236</v>
      </c>
    </row>
    <row r="76" spans="1:136" s="74" customFormat="1">
      <c r="A76" s="99">
        <v>74</v>
      </c>
      <c r="B76" s="74" t="s">
        <v>247</v>
      </c>
      <c r="C76" s="74">
        <v>250401</v>
      </c>
      <c r="D76" s="74" t="s">
        <v>174</v>
      </c>
      <c r="E76" s="74" t="s">
        <v>230</v>
      </c>
      <c r="F76" s="74">
        <v>6.76</v>
      </c>
      <c r="G76" s="74">
        <v>1020.1</v>
      </c>
      <c r="H76" s="74">
        <v>17.7</v>
      </c>
      <c r="I76" s="74">
        <v>3.5</v>
      </c>
      <c r="J76" s="74" t="s">
        <v>151</v>
      </c>
      <c r="K76" s="74">
        <v>173.7</v>
      </c>
      <c r="L76" s="74" t="s">
        <v>240</v>
      </c>
      <c r="M76" s="74" t="s">
        <v>153</v>
      </c>
      <c r="N76" s="74" t="s">
        <v>154</v>
      </c>
      <c r="O76" s="74">
        <v>0.39</v>
      </c>
      <c r="P76" s="74">
        <v>19.399999999999999</v>
      </c>
      <c r="Q76" s="74">
        <v>0.75</v>
      </c>
      <c r="R76" s="74">
        <v>2500000</v>
      </c>
      <c r="S76" s="74" t="s">
        <v>155</v>
      </c>
      <c r="T76" s="74" t="s">
        <v>228</v>
      </c>
      <c r="U76" s="74" t="s">
        <v>157</v>
      </c>
      <c r="V76" s="74">
        <v>1500000</v>
      </c>
      <c r="W76" s="74">
        <v>1280</v>
      </c>
      <c r="X76" s="74">
        <v>32</v>
      </c>
      <c r="Y76" s="74" t="s">
        <v>158</v>
      </c>
      <c r="Z76" s="74">
        <v>9.5000000000000001E-2</v>
      </c>
      <c r="AA76" s="77">
        <v>1.3920316964799999</v>
      </c>
      <c r="AB76" s="77">
        <v>19.516791999999999</v>
      </c>
      <c r="AC76" s="77">
        <v>37.0176512769143</v>
      </c>
      <c r="AD76" s="77">
        <v>1.47497314233671E-2</v>
      </c>
      <c r="AE76" s="77">
        <v>24.1315003087606</v>
      </c>
      <c r="AF76" s="77">
        <v>33.238516116885201</v>
      </c>
      <c r="AG76" s="77">
        <v>1.0003520436484501</v>
      </c>
      <c r="AH76" s="77">
        <v>2.5604</v>
      </c>
      <c r="AI76" s="77">
        <v>762.66015863331302</v>
      </c>
      <c r="AJ76" s="77">
        <v>1.1448</v>
      </c>
      <c r="AK76" s="77">
        <v>0.31640000000000001</v>
      </c>
      <c r="AL76" s="77">
        <v>139203</v>
      </c>
      <c r="AM76" s="77">
        <v>292.66699999999997</v>
      </c>
      <c r="AN76" s="77">
        <v>1.6569700000000001</v>
      </c>
      <c r="AO76" s="77">
        <v>210680</v>
      </c>
      <c r="AP76" s="77">
        <v>294691</v>
      </c>
      <c r="AQ76" s="77">
        <v>287.05200000000002</v>
      </c>
      <c r="AR76" s="77">
        <v>1.39052</v>
      </c>
      <c r="AS76" s="77">
        <v>1022.1</v>
      </c>
      <c r="AT76" s="77">
        <v>341.74400000000003</v>
      </c>
      <c r="AU76" s="77">
        <v>6739.96</v>
      </c>
      <c r="AV76" s="77">
        <v>0</v>
      </c>
      <c r="AW76" s="77">
        <v>0</v>
      </c>
      <c r="AX76" s="77">
        <v>782505</v>
      </c>
      <c r="AY76" s="77">
        <v>547.05100000000004</v>
      </c>
      <c r="AZ76" s="77">
        <v>4.9830699999999997</v>
      </c>
      <c r="BA76" s="77">
        <v>396327</v>
      </c>
      <c r="BB76" s="77">
        <v>553360</v>
      </c>
      <c r="BC76" s="77">
        <v>287.053</v>
      </c>
      <c r="BD76" s="77">
        <v>1.38127</v>
      </c>
      <c r="BE76" s="77">
        <v>1039.95</v>
      </c>
      <c r="BF76" s="77">
        <v>465.75900000000001</v>
      </c>
      <c r="BG76" s="77">
        <v>6890.69</v>
      </c>
      <c r="BH76" s="77">
        <v>253.6</v>
      </c>
      <c r="BI76" s="77">
        <v>0.54448759981020201</v>
      </c>
      <c r="BJ76" s="77">
        <v>2946000</v>
      </c>
      <c r="BK76" s="77">
        <v>831.471</v>
      </c>
      <c r="BL76" s="77">
        <v>12.343299999999999</v>
      </c>
      <c r="BM76" s="77">
        <v>619411</v>
      </c>
      <c r="BN76" s="77">
        <v>858083</v>
      </c>
      <c r="BO76" s="77">
        <v>287.04899999999998</v>
      </c>
      <c r="BP76" s="77">
        <v>1.3505799999999999</v>
      </c>
      <c r="BQ76" s="77">
        <v>1105.83</v>
      </c>
      <c r="BR76" s="77">
        <v>567.73</v>
      </c>
      <c r="BS76" s="77">
        <v>6958.09</v>
      </c>
      <c r="BT76" s="77">
        <v>0</v>
      </c>
      <c r="BU76" s="77">
        <v>0</v>
      </c>
      <c r="BV76" s="77">
        <v>3323850</v>
      </c>
      <c r="BW76" s="77">
        <v>857.90099999999995</v>
      </c>
      <c r="BX76" s="77">
        <v>13.497299999999999</v>
      </c>
      <c r="BY76" s="77">
        <v>641157</v>
      </c>
      <c r="BZ76" s="77">
        <v>887417</v>
      </c>
      <c r="CA76" s="77">
        <v>287.04899999999998</v>
      </c>
      <c r="CB76" s="77">
        <v>1.3482400000000001</v>
      </c>
      <c r="CC76" s="77">
        <v>1111.3399999999999</v>
      </c>
      <c r="CD76" s="77">
        <v>576.18499999999995</v>
      </c>
      <c r="CE76" s="77">
        <v>6958.09</v>
      </c>
      <c r="CF76" s="77">
        <v>0</v>
      </c>
      <c r="CG76" s="77">
        <v>0</v>
      </c>
      <c r="CH76" s="77">
        <v>1775470</v>
      </c>
      <c r="CI76" s="77">
        <v>728.05600000000004</v>
      </c>
      <c r="CJ76" s="77">
        <v>8.4954800000000006</v>
      </c>
      <c r="CK76" s="77">
        <v>536141</v>
      </c>
      <c r="CL76" s="77">
        <v>745130</v>
      </c>
      <c r="CM76" s="77">
        <v>287.05200000000002</v>
      </c>
      <c r="CN76" s="77">
        <v>1.3614200000000001</v>
      </c>
      <c r="CO76" s="77">
        <v>1081.29</v>
      </c>
      <c r="CP76" s="77">
        <v>533.45500000000004</v>
      </c>
      <c r="CQ76" s="77">
        <v>6958.09</v>
      </c>
      <c r="CR76" s="77">
        <v>533.45500000000004</v>
      </c>
      <c r="CS76" s="77">
        <v>1</v>
      </c>
      <c r="CT76" s="77">
        <v>850.06399999999996</v>
      </c>
      <c r="CU76" s="77">
        <v>87.638900000000007</v>
      </c>
      <c r="CV76" s="77">
        <v>3.3793799999999999E-2</v>
      </c>
      <c r="CW76" s="77">
        <v>63088</v>
      </c>
      <c r="CX76" s="77">
        <v>88242.4</v>
      </c>
      <c r="CY76" s="77">
        <v>287.024</v>
      </c>
      <c r="CZ76" s="77">
        <v>1.3904799999999999</v>
      </c>
      <c r="DA76" s="77">
        <v>1022.07</v>
      </c>
      <c r="DB76" s="77">
        <v>187.00899999999999</v>
      </c>
      <c r="DC76" s="77">
        <v>6958.1</v>
      </c>
      <c r="DD76" s="77">
        <v>1264.26</v>
      </c>
      <c r="DE76" s="77">
        <v>6.7604100000000003</v>
      </c>
      <c r="DF76" s="78">
        <f t="shared" si="29"/>
        <v>7080889.4559793938</v>
      </c>
      <c r="DG76" s="78">
        <f t="shared" si="30"/>
        <v>887419.07380000001</v>
      </c>
      <c r="DH76" s="79" t="s">
        <v>261</v>
      </c>
      <c r="DK76" s="74">
        <v>2745</v>
      </c>
      <c r="DL76" s="80">
        <f t="shared" ref="DL76:DL99" si="42">DK76+AK76/1000*V76</f>
        <v>3219.6</v>
      </c>
      <c r="DM76" s="80">
        <f t="shared" ref="DM76:DM99" si="43">DL76+AH76/1000*V76</f>
        <v>7060.2</v>
      </c>
      <c r="DU76" s="74">
        <v>5.9179945199999997</v>
      </c>
      <c r="DV76" s="74">
        <f t="shared" si="32"/>
        <v>5.8866054191687993E-2</v>
      </c>
      <c r="DW76" s="74">
        <f t="shared" si="33"/>
        <v>111.08560360180701</v>
      </c>
      <c r="DX76" s="74">
        <f t="shared" si="34"/>
        <v>210.5440334414707</v>
      </c>
      <c r="DY76" s="74">
        <f t="shared" si="35"/>
        <v>1245.9984361253203</v>
      </c>
      <c r="DZ76" s="78">
        <f t="shared" si="36"/>
        <v>9523829.765280921</v>
      </c>
      <c r="EA76" s="74">
        <v>5.7739619199999996</v>
      </c>
      <c r="EB76" s="74">
        <f t="shared" si="37"/>
        <v>6.2375901915347996E-2</v>
      </c>
      <c r="EC76" s="74">
        <f t="shared" si="38"/>
        <v>115.98060337379802</v>
      </c>
      <c r="ED76" s="74">
        <f t="shared" si="39"/>
        <v>215.13285011276372</v>
      </c>
      <c r="EE76" s="74">
        <f t="shared" si="40"/>
        <v>1242.1688842921653</v>
      </c>
      <c r="EF76" s="78">
        <f t="shared" si="41"/>
        <v>9638371.1886444464</v>
      </c>
    </row>
    <row r="77" spans="1:136" s="74" customFormat="1">
      <c r="A77" s="99">
        <v>75</v>
      </c>
      <c r="B77" s="74" t="s">
        <v>254</v>
      </c>
      <c r="C77" s="74">
        <v>250404</v>
      </c>
      <c r="D77" s="74" t="s">
        <v>174</v>
      </c>
      <c r="E77" s="74" t="s">
        <v>230</v>
      </c>
      <c r="F77" s="74">
        <v>6.76</v>
      </c>
      <c r="G77" s="74">
        <v>1019</v>
      </c>
      <c r="H77" s="74">
        <v>20.100000000000001</v>
      </c>
      <c r="I77" s="74">
        <v>34.6</v>
      </c>
      <c r="J77" s="74" t="s">
        <v>151</v>
      </c>
      <c r="K77" s="74">
        <v>207</v>
      </c>
      <c r="L77" s="74" t="s">
        <v>262</v>
      </c>
      <c r="M77" s="74" t="s">
        <v>153</v>
      </c>
      <c r="N77" s="74" t="s">
        <v>154</v>
      </c>
      <c r="O77" s="74">
        <v>0.22</v>
      </c>
      <c r="P77" s="74">
        <v>22.2</v>
      </c>
      <c r="Q77" s="74">
        <v>0.72</v>
      </c>
      <c r="R77" s="74">
        <v>2500000</v>
      </c>
      <c r="S77" s="74" t="s">
        <v>155</v>
      </c>
      <c r="T77" s="74" t="s">
        <v>228</v>
      </c>
      <c r="U77" s="74" t="s">
        <v>157</v>
      </c>
      <c r="V77" s="74">
        <v>1500000</v>
      </c>
      <c r="W77" s="74">
        <v>1280</v>
      </c>
      <c r="X77" s="74">
        <v>32</v>
      </c>
      <c r="Y77" s="74" t="s">
        <v>158</v>
      </c>
      <c r="Z77" s="74">
        <v>9.5000000000000001E-2</v>
      </c>
      <c r="AA77" s="77">
        <v>1.23125419024</v>
      </c>
      <c r="AB77" s="77">
        <v>22.528084</v>
      </c>
      <c r="AC77" s="77">
        <v>77.002542139520799</v>
      </c>
      <c r="AD77" s="77">
        <v>1.80993436793782E-2</v>
      </c>
      <c r="AE77" s="77">
        <v>27.3866131109713</v>
      </c>
      <c r="AF77" s="77">
        <v>61.9654192134007</v>
      </c>
      <c r="AG77" s="77">
        <v>1.8602260946538101</v>
      </c>
      <c r="AH77" s="77">
        <v>2.7391999999999999</v>
      </c>
      <c r="AI77" s="77">
        <v>983.477576711251</v>
      </c>
      <c r="AJ77" s="77">
        <v>0.89080000000000004</v>
      </c>
      <c r="AK77" s="77">
        <v>0.31559999999999999</v>
      </c>
      <c r="AL77" s="77">
        <v>123125</v>
      </c>
      <c r="AM77" s="77">
        <v>295.678</v>
      </c>
      <c r="AN77" s="77">
        <v>1.45065</v>
      </c>
      <c r="AO77" s="77">
        <v>212848</v>
      </c>
      <c r="AP77" s="77">
        <v>297724</v>
      </c>
      <c r="AQ77" s="77">
        <v>287.05500000000001</v>
      </c>
      <c r="AR77" s="77">
        <v>1.39053</v>
      </c>
      <c r="AS77" s="77">
        <v>1022.1</v>
      </c>
      <c r="AT77" s="77">
        <v>343.49700000000001</v>
      </c>
      <c r="AU77" s="77">
        <v>6785.62</v>
      </c>
      <c r="AV77" s="77">
        <v>0</v>
      </c>
      <c r="AW77" s="77">
        <v>0</v>
      </c>
      <c r="AX77" s="77">
        <v>1157410</v>
      </c>
      <c r="AY77" s="77">
        <v>730.63400000000001</v>
      </c>
      <c r="AZ77" s="77">
        <v>5.5186099999999998</v>
      </c>
      <c r="BA77" s="77">
        <v>538193</v>
      </c>
      <c r="BB77" s="77">
        <v>747921</v>
      </c>
      <c r="BC77" s="77">
        <v>287.04899999999998</v>
      </c>
      <c r="BD77" s="77">
        <v>1.36114</v>
      </c>
      <c r="BE77" s="77">
        <v>1081.9000000000001</v>
      </c>
      <c r="BF77" s="77">
        <v>534.34400000000005</v>
      </c>
      <c r="BG77" s="77">
        <v>7084.77</v>
      </c>
      <c r="BH77" s="77">
        <v>258.52199999999999</v>
      </c>
      <c r="BI77" s="77">
        <v>0.48381192639947301</v>
      </c>
      <c r="BJ77" s="77">
        <v>5568160</v>
      </c>
      <c r="BK77" s="77">
        <v>1203.99</v>
      </c>
      <c r="BL77" s="77">
        <v>16.1114</v>
      </c>
      <c r="BM77" s="77">
        <v>938826</v>
      </c>
      <c r="BN77" s="77">
        <v>1284430</v>
      </c>
      <c r="BO77" s="77">
        <v>287.048</v>
      </c>
      <c r="BP77" s="77">
        <v>1.3233999999999999</v>
      </c>
      <c r="BQ77" s="77">
        <v>1174.6400000000001</v>
      </c>
      <c r="BR77" s="77">
        <v>675.82600000000002</v>
      </c>
      <c r="BS77" s="77">
        <v>7198.17</v>
      </c>
      <c r="BT77" s="77">
        <v>0</v>
      </c>
      <c r="BU77" s="77">
        <v>0</v>
      </c>
      <c r="BV77" s="77">
        <v>6196540</v>
      </c>
      <c r="BW77" s="77">
        <v>1235.58</v>
      </c>
      <c r="BX77" s="77">
        <v>17.471299999999999</v>
      </c>
      <c r="BY77" s="77">
        <v>967159</v>
      </c>
      <c r="BZ77" s="77">
        <v>1321830</v>
      </c>
      <c r="CA77" s="77">
        <v>287.04700000000003</v>
      </c>
      <c r="CB77" s="77">
        <v>1.3217000000000001</v>
      </c>
      <c r="CC77" s="77">
        <v>1179.3399999999999</v>
      </c>
      <c r="CD77" s="77">
        <v>684.11800000000005</v>
      </c>
      <c r="CE77" s="77">
        <v>7198.17</v>
      </c>
      <c r="CF77" s="77">
        <v>0</v>
      </c>
      <c r="CG77" s="77">
        <v>0</v>
      </c>
      <c r="CH77" s="77">
        <v>3345220</v>
      </c>
      <c r="CI77" s="77">
        <v>1062.1600000000001</v>
      </c>
      <c r="CJ77" s="77">
        <v>10.9719</v>
      </c>
      <c r="CK77" s="77">
        <v>814008</v>
      </c>
      <c r="CL77" s="77">
        <v>1118900</v>
      </c>
      <c r="CM77" s="77">
        <v>287.04700000000003</v>
      </c>
      <c r="CN77" s="77">
        <v>1.33196</v>
      </c>
      <c r="CO77" s="77">
        <v>1151.75</v>
      </c>
      <c r="CP77" s="77">
        <v>637.07399999999996</v>
      </c>
      <c r="CQ77" s="77">
        <v>7198.17</v>
      </c>
      <c r="CR77" s="77">
        <v>637.07299999999998</v>
      </c>
      <c r="CS77" s="77">
        <v>0.999998430323636</v>
      </c>
      <c r="CT77" s="77">
        <v>1540.1</v>
      </c>
      <c r="CU77" s="77">
        <v>130.553</v>
      </c>
      <c r="CV77" s="77">
        <v>4.1098099999999999E-2</v>
      </c>
      <c r="CW77" s="77">
        <v>93980.4</v>
      </c>
      <c r="CX77" s="77">
        <v>131454</v>
      </c>
      <c r="CY77" s="77">
        <v>287.03800000000001</v>
      </c>
      <c r="CZ77" s="77">
        <v>1.3905000000000001</v>
      </c>
      <c r="DA77" s="77">
        <v>1022.08</v>
      </c>
      <c r="DB77" s="77">
        <v>228.249</v>
      </c>
      <c r="DC77" s="77">
        <v>7198.17</v>
      </c>
      <c r="DD77" s="77">
        <v>1542.97</v>
      </c>
      <c r="DE77" s="77">
        <v>6.7600199999999999</v>
      </c>
      <c r="DF77" s="78">
        <f t="shared" si="29"/>
        <v>7029215.2245670846</v>
      </c>
      <c r="DG77" s="78">
        <f t="shared" si="30"/>
        <v>1321832.2104500001</v>
      </c>
      <c r="DH77" s="79" t="s">
        <v>263</v>
      </c>
      <c r="DK77" s="74">
        <v>1610</v>
      </c>
      <c r="DL77" s="80">
        <f t="shared" si="42"/>
        <v>2083.4</v>
      </c>
      <c r="DM77" s="80">
        <f t="shared" si="43"/>
        <v>6192.1999999999989</v>
      </c>
      <c r="DU77" s="74">
        <v>5.9179945199999997</v>
      </c>
      <c r="DV77" s="74">
        <f t="shared" si="32"/>
        <v>7.1589551390355999E-2</v>
      </c>
      <c r="DW77" s="74">
        <f t="shared" si="33"/>
        <v>165.48084020939001</v>
      </c>
      <c r="DX77" s="74">
        <f t="shared" si="34"/>
        <v>256.97407658980183</v>
      </c>
      <c r="DY77" s="74">
        <f t="shared" si="35"/>
        <v>1520.7711770405074</v>
      </c>
      <c r="DZ77" s="78">
        <f t="shared" si="36"/>
        <v>9679489.2332925778</v>
      </c>
      <c r="EA77" s="74">
        <v>5.7739619199999996</v>
      </c>
      <c r="EB77" s="74">
        <f t="shared" si="37"/>
        <v>7.5858028825026E-2</v>
      </c>
      <c r="EC77" s="74">
        <f t="shared" si="38"/>
        <v>172.77277227646002</v>
      </c>
      <c r="ED77" s="74">
        <f t="shared" si="39"/>
        <v>262.57483813820835</v>
      </c>
      <c r="EE77" s="74">
        <f t="shared" si="40"/>
        <v>1516.0971165601786</v>
      </c>
      <c r="EF77" s="78">
        <f t="shared" si="41"/>
        <v>9837433.4621629287</v>
      </c>
    </row>
    <row r="78" spans="1:136">
      <c r="A78" s="9">
        <v>76</v>
      </c>
      <c r="B78" s="2" t="s">
        <v>254</v>
      </c>
      <c r="C78" s="2">
        <v>250404</v>
      </c>
      <c r="D78" s="2" t="s">
        <v>174</v>
      </c>
      <c r="E78" s="2" t="s">
        <v>230</v>
      </c>
      <c r="F78" s="2">
        <v>6.76</v>
      </c>
      <c r="G78" s="2">
        <v>1018.3</v>
      </c>
      <c r="H78" s="2">
        <v>19.899999999999999</v>
      </c>
      <c r="I78" s="2">
        <v>31.1</v>
      </c>
      <c r="J78" s="2" t="s">
        <v>151</v>
      </c>
      <c r="K78" s="2">
        <v>207.3</v>
      </c>
      <c r="L78" s="2" t="s">
        <v>264</v>
      </c>
      <c r="M78" s="2" t="s">
        <v>153</v>
      </c>
      <c r="N78" s="2" t="s">
        <v>154</v>
      </c>
      <c r="O78" s="2">
        <v>2.42</v>
      </c>
      <c r="P78" s="2">
        <v>21.5</v>
      </c>
      <c r="Q78" s="2">
        <v>0.74</v>
      </c>
      <c r="R78" s="2">
        <v>2500000</v>
      </c>
      <c r="S78" s="2" t="s">
        <v>155</v>
      </c>
      <c r="T78" s="2" t="s">
        <v>265</v>
      </c>
      <c r="U78" s="2" t="s">
        <v>157</v>
      </c>
      <c r="V78" s="2">
        <v>1500000</v>
      </c>
      <c r="W78" s="2">
        <v>1280</v>
      </c>
      <c r="X78" s="2">
        <v>32</v>
      </c>
      <c r="Y78" s="2" t="s">
        <v>158</v>
      </c>
      <c r="Z78" s="2">
        <v>9.5000000000000001E-2</v>
      </c>
      <c r="AA78" s="17">
        <v>3.4255835910400001</v>
      </c>
      <c r="AB78" s="17">
        <v>21.623092</v>
      </c>
      <c r="AC78" s="17">
        <v>64.651967388202195</v>
      </c>
      <c r="AD78" s="17">
        <v>0.10072952624095</v>
      </c>
      <c r="AE78" s="17">
        <v>28.095094778141402</v>
      </c>
      <c r="AF78" s="17">
        <v>71.224705266260102</v>
      </c>
      <c r="AG78" s="17">
        <v>2.1413746379096099</v>
      </c>
      <c r="AH78" s="17">
        <v>2.1907999999999999</v>
      </c>
      <c r="AI78" s="17">
        <v>743.16290130796699</v>
      </c>
      <c r="AJ78" s="17">
        <v>1.0624</v>
      </c>
      <c r="AK78" s="17">
        <v>0.318</v>
      </c>
      <c r="AL78" s="17">
        <v>342558</v>
      </c>
      <c r="AM78" s="17">
        <v>294.77300000000002</v>
      </c>
      <c r="AN78" s="17">
        <v>4.0483599999999997</v>
      </c>
      <c r="AO78" s="17">
        <v>212196</v>
      </c>
      <c r="AP78" s="17">
        <v>296813</v>
      </c>
      <c r="AQ78" s="17">
        <v>287.05700000000002</v>
      </c>
      <c r="AR78" s="17">
        <v>1.39053</v>
      </c>
      <c r="AS78" s="17">
        <v>1022.1</v>
      </c>
      <c r="AT78" s="17">
        <v>342.97199999999998</v>
      </c>
      <c r="AU78" s="17">
        <v>6488.88</v>
      </c>
      <c r="AV78" s="17">
        <v>0</v>
      </c>
      <c r="AW78" s="17">
        <v>0</v>
      </c>
      <c r="AX78" s="17">
        <v>1811540</v>
      </c>
      <c r="AY78" s="17">
        <v>534.68700000000001</v>
      </c>
      <c r="AZ78" s="17">
        <v>11.803000000000001</v>
      </c>
      <c r="BA78" s="17">
        <v>386989</v>
      </c>
      <c r="BB78" s="17">
        <v>540471</v>
      </c>
      <c r="BC78" s="17">
        <v>287.05</v>
      </c>
      <c r="BD78" s="17">
        <v>1.38266</v>
      </c>
      <c r="BE78" s="17">
        <v>1037.19</v>
      </c>
      <c r="BF78" s="17">
        <v>460.68900000000002</v>
      </c>
      <c r="BG78" s="17">
        <v>6625.99</v>
      </c>
      <c r="BH78" s="17">
        <v>254.90199999999999</v>
      </c>
      <c r="BI78" s="17">
        <v>0.55330602640827098</v>
      </c>
      <c r="BJ78" s="17">
        <v>6594850</v>
      </c>
      <c r="BK78" s="17">
        <v>802.93299999999999</v>
      </c>
      <c r="BL78" s="17">
        <v>28.613299999999999</v>
      </c>
      <c r="BM78" s="17">
        <v>596206</v>
      </c>
      <c r="BN78" s="17">
        <v>826689</v>
      </c>
      <c r="BO78" s="17">
        <v>287.05</v>
      </c>
      <c r="BP78" s="17">
        <v>1.35344</v>
      </c>
      <c r="BQ78" s="17">
        <v>1099.2</v>
      </c>
      <c r="BR78" s="17">
        <v>558.51900000000001</v>
      </c>
      <c r="BS78" s="17">
        <v>6688.23</v>
      </c>
      <c r="BT78" s="17">
        <v>0</v>
      </c>
      <c r="BU78" s="17">
        <v>0</v>
      </c>
      <c r="BV78" s="17">
        <v>7122470</v>
      </c>
      <c r="BW78" s="17">
        <v>819.18100000000004</v>
      </c>
      <c r="BX78" s="17">
        <v>30.2895</v>
      </c>
      <c r="BY78" s="17">
        <v>609373</v>
      </c>
      <c r="BZ78" s="17">
        <v>844519</v>
      </c>
      <c r="CA78" s="17">
        <v>287.05</v>
      </c>
      <c r="CB78" s="17">
        <v>1.3517399999999999</v>
      </c>
      <c r="CC78" s="17">
        <v>1103.1300000000001</v>
      </c>
      <c r="CD78" s="17">
        <v>563.76499999999999</v>
      </c>
      <c r="CE78" s="17">
        <v>6688.23</v>
      </c>
      <c r="CF78" s="17">
        <v>0</v>
      </c>
      <c r="CG78" s="17">
        <v>0</v>
      </c>
      <c r="CH78" s="17">
        <v>3800780</v>
      </c>
      <c r="CI78" s="17">
        <v>694.12400000000002</v>
      </c>
      <c r="CJ78" s="17">
        <v>19.075500000000002</v>
      </c>
      <c r="CK78" s="17">
        <v>509247</v>
      </c>
      <c r="CL78" s="17">
        <v>708496</v>
      </c>
      <c r="CM78" s="17">
        <v>287.05099999999999</v>
      </c>
      <c r="CN78" s="17">
        <v>1.3651</v>
      </c>
      <c r="CO78" s="17">
        <v>1073.26</v>
      </c>
      <c r="CP78" s="17">
        <v>521.58100000000002</v>
      </c>
      <c r="CQ78" s="17">
        <v>6688.23</v>
      </c>
      <c r="CR78" s="17">
        <v>521.58100000000002</v>
      </c>
      <c r="CS78" s="17">
        <v>1</v>
      </c>
      <c r="CT78" s="17">
        <v>1806.36</v>
      </c>
      <c r="CU78" s="17">
        <v>83.402500000000003</v>
      </c>
      <c r="CV78" s="17">
        <v>7.5449500000000003E-2</v>
      </c>
      <c r="CW78" s="17">
        <v>60038.400000000001</v>
      </c>
      <c r="CX78" s="17">
        <v>83979.7</v>
      </c>
      <c r="CY78" s="17">
        <v>287.05799999999999</v>
      </c>
      <c r="CZ78" s="17">
        <v>1.39053</v>
      </c>
      <c r="DA78" s="17">
        <v>1022.1</v>
      </c>
      <c r="DB78" s="17">
        <v>182.434</v>
      </c>
      <c r="DC78" s="17">
        <v>6688.23</v>
      </c>
      <c r="DD78" s="17">
        <v>1233.32</v>
      </c>
      <c r="DE78" s="17">
        <v>6.7603799999999996</v>
      </c>
      <c r="DF78" s="19">
        <f t="shared" si="29"/>
        <v>16257765.135848882</v>
      </c>
      <c r="DG78" s="19">
        <f t="shared" si="30"/>
        <v>844518.81119999988</v>
      </c>
      <c r="DK78" s="2">
        <v>2020</v>
      </c>
      <c r="DL78" s="16">
        <f t="shared" si="42"/>
        <v>2497</v>
      </c>
      <c r="DM78" s="16">
        <f t="shared" si="43"/>
        <v>5783.1999999999989</v>
      </c>
      <c r="DU78" s="2">
        <v>5.9179945199999997</v>
      </c>
      <c r="DV78" s="2">
        <f t="shared" si="32"/>
        <v>0.13142689948261999</v>
      </c>
      <c r="DW78" s="2">
        <f t="shared" si="33"/>
        <v>105.71580718607501</v>
      </c>
      <c r="DX78" s="2">
        <f t="shared" si="34"/>
        <v>205.39327089531128</v>
      </c>
      <c r="DY78" s="2">
        <f t="shared" si="35"/>
        <v>1215.5162516033276</v>
      </c>
      <c r="DZ78" s="19">
        <f t="shared" si="36"/>
        <v>21803247.739818502</v>
      </c>
      <c r="EA78" s="2">
        <v>5.7739619199999996</v>
      </c>
      <c r="EB78" s="2">
        <f t="shared" si="37"/>
        <v>0.13926313736727</v>
      </c>
      <c r="EC78" s="2">
        <f t="shared" si="38"/>
        <v>110.37418626755002</v>
      </c>
      <c r="ED78" s="2">
        <f t="shared" si="39"/>
        <v>209.86982646542111</v>
      </c>
      <c r="EE78" s="2">
        <f t="shared" si="40"/>
        <v>1211.7803861683497</v>
      </c>
      <c r="EF78" s="19">
        <f t="shared" si="41"/>
        <v>22053689.816887077</v>
      </c>
    </row>
    <row r="79" spans="1:136">
      <c r="A79" s="9">
        <v>77</v>
      </c>
      <c r="B79" s="2" t="s">
        <v>173</v>
      </c>
      <c r="C79" s="2">
        <v>250404</v>
      </c>
      <c r="D79" s="2" t="s">
        <v>174</v>
      </c>
      <c r="E79" s="2" t="s">
        <v>230</v>
      </c>
      <c r="F79" s="2">
        <v>6.76</v>
      </c>
      <c r="G79" s="2">
        <v>1018.1</v>
      </c>
      <c r="H79" s="2">
        <v>18.5</v>
      </c>
      <c r="I79" s="2">
        <v>34.299999999999997</v>
      </c>
      <c r="J79" s="2" t="s">
        <v>151</v>
      </c>
      <c r="K79" s="2">
        <v>217.5</v>
      </c>
      <c r="L79" s="2" t="s">
        <v>266</v>
      </c>
      <c r="M79" s="2" t="s">
        <v>153</v>
      </c>
      <c r="N79" s="2" t="s">
        <v>267</v>
      </c>
      <c r="O79" s="2">
        <v>0</v>
      </c>
      <c r="P79" s="2">
        <v>20.9</v>
      </c>
      <c r="Q79" s="2">
        <v>0.76</v>
      </c>
      <c r="R79" s="2">
        <v>2500000</v>
      </c>
      <c r="S79" s="2" t="s">
        <v>155</v>
      </c>
      <c r="T79" s="2" t="s">
        <v>259</v>
      </c>
      <c r="U79" s="2" t="s">
        <v>157</v>
      </c>
      <c r="V79" s="2">
        <v>65000</v>
      </c>
      <c r="W79" s="2">
        <v>1280</v>
      </c>
      <c r="X79" s="2">
        <v>800</v>
      </c>
      <c r="Y79" s="2">
        <v>200</v>
      </c>
      <c r="Z79" s="2">
        <v>0.5</v>
      </c>
      <c r="AA79" s="87">
        <v>1</v>
      </c>
      <c r="AB79" s="87">
        <v>20.9</v>
      </c>
      <c r="AC79" s="87">
        <v>123.01359678211</v>
      </c>
      <c r="AD79" s="87">
        <v>1.7379286779746601E-2</v>
      </c>
      <c r="AE79" s="87">
        <v>28.827654926221399</v>
      </c>
      <c r="AF79" s="87">
        <v>119.717084671237</v>
      </c>
      <c r="AG79" s="87">
        <v>5.9943556640359201</v>
      </c>
      <c r="AH79" s="87">
        <v>0.38879999999999998</v>
      </c>
      <c r="AI79" s="87">
        <v>1009.69305331179</v>
      </c>
      <c r="AJ79" s="87">
        <v>0.81279999999999997</v>
      </c>
      <c r="AK79" s="87">
        <v>0.35680000000000001</v>
      </c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100"/>
      <c r="CX79" s="100"/>
      <c r="CY79" s="100"/>
      <c r="CZ79" s="100"/>
      <c r="DA79" s="100"/>
      <c r="DB79" s="100"/>
      <c r="DC79" s="100"/>
      <c r="DD79" s="100"/>
      <c r="DE79" s="100"/>
      <c r="DF79" s="101"/>
      <c r="DG79" s="101"/>
      <c r="DK79" s="2">
        <v>56</v>
      </c>
      <c r="DL79" s="16">
        <f t="shared" si="42"/>
        <v>79.192000000000007</v>
      </c>
      <c r="DM79" s="16">
        <f t="shared" si="43"/>
        <v>104.464</v>
      </c>
      <c r="DU79" s="2">
        <v>5.9179945199999997</v>
      </c>
      <c r="DV79" s="2">
        <f t="shared" si="32"/>
        <v>0</v>
      </c>
      <c r="DW79" s="2">
        <f t="shared" si="33"/>
        <v>0</v>
      </c>
      <c r="DX79" s="2">
        <f t="shared" si="34"/>
        <v>0</v>
      </c>
      <c r="DY79" s="2">
        <f t="shared" si="35"/>
        <v>0</v>
      </c>
      <c r="DZ79" s="19" t="e">
        <f t="shared" si="36"/>
        <v>#DIV/0!</v>
      </c>
      <c r="EA79" s="2">
        <v>5.7739619199999996</v>
      </c>
      <c r="EB79" s="2">
        <f t="shared" si="37"/>
        <v>0</v>
      </c>
      <c r="EC79" s="2">
        <f t="shared" si="38"/>
        <v>0</v>
      </c>
      <c r="ED79" s="2">
        <f t="shared" si="39"/>
        <v>0</v>
      </c>
      <c r="EE79" s="2">
        <f t="shared" si="40"/>
        <v>0</v>
      </c>
      <c r="EF79" s="19" t="e">
        <f t="shared" si="41"/>
        <v>#DIV/0!</v>
      </c>
    </row>
    <row r="80" spans="1:136">
      <c r="A80" s="102">
        <v>78</v>
      </c>
      <c r="B80" s="2" t="s">
        <v>247</v>
      </c>
      <c r="C80" s="2">
        <v>250407</v>
      </c>
      <c r="D80" s="2" t="s">
        <v>174</v>
      </c>
      <c r="E80" s="2" t="s">
        <v>268</v>
      </c>
      <c r="F80" s="2">
        <v>6.76</v>
      </c>
      <c r="G80" s="2">
        <v>1018.3</v>
      </c>
      <c r="H80" s="2">
        <v>16.899999999999999</v>
      </c>
      <c r="I80" s="2">
        <v>37.700000000000003</v>
      </c>
      <c r="J80" s="2" t="s">
        <v>151</v>
      </c>
      <c r="K80" s="2">
        <v>218.6</v>
      </c>
      <c r="L80" s="2" t="s">
        <v>269</v>
      </c>
      <c r="M80" s="2" t="s">
        <v>153</v>
      </c>
      <c r="N80" s="2" t="s">
        <v>154</v>
      </c>
      <c r="O80" s="2">
        <v>5</v>
      </c>
      <c r="P80" s="2">
        <v>18.100000000000001</v>
      </c>
      <c r="Q80" s="2">
        <v>0.71</v>
      </c>
      <c r="R80" s="2">
        <v>2500000</v>
      </c>
      <c r="S80" s="2" t="s">
        <v>155</v>
      </c>
      <c r="T80" s="2" t="s">
        <v>270</v>
      </c>
      <c r="U80" s="2" t="s">
        <v>157</v>
      </c>
      <c r="V80" s="2">
        <v>1500000</v>
      </c>
      <c r="W80" s="2">
        <v>1280</v>
      </c>
      <c r="X80" s="2">
        <v>32</v>
      </c>
      <c r="Y80" s="2" t="s">
        <v>158</v>
      </c>
      <c r="Z80" s="2">
        <v>9.5000000000000001E-2</v>
      </c>
      <c r="AA80" s="17">
        <v>5.9726595356800001</v>
      </c>
      <c r="AB80" s="17">
        <v>18.233260000000001</v>
      </c>
      <c r="AC80" s="17">
        <v>127.935656687999</v>
      </c>
      <c r="AD80" s="17">
        <v>5.4626202591730004E-3</v>
      </c>
      <c r="AE80" s="17">
        <v>28.2507690841487</v>
      </c>
      <c r="AF80" s="17">
        <v>144.032114142832</v>
      </c>
      <c r="AG80" s="17">
        <v>5.7801221886348504</v>
      </c>
      <c r="AH80" s="17">
        <v>2.0960000000000001</v>
      </c>
      <c r="AI80" s="17">
        <v>777.84691972619805</v>
      </c>
      <c r="AJ80" s="17">
        <v>0.95640000000000003</v>
      </c>
      <c r="AK80" s="17">
        <v>0.33360000000000001</v>
      </c>
      <c r="AL80" s="17">
        <v>597266</v>
      </c>
      <c r="AM80" s="17">
        <v>291.38299999999998</v>
      </c>
      <c r="AN80" s="17">
        <v>7.1404300000000003</v>
      </c>
      <c r="AO80" s="17">
        <v>209756</v>
      </c>
      <c r="AP80" s="17">
        <v>293402</v>
      </c>
      <c r="AQ80" s="17">
        <v>287.06400000000002</v>
      </c>
      <c r="AR80" s="17">
        <v>1.3905400000000001</v>
      </c>
      <c r="AS80" s="17">
        <v>1022.11</v>
      </c>
      <c r="AT80" s="17">
        <v>340.995</v>
      </c>
      <c r="AU80" s="17">
        <v>6317.31</v>
      </c>
      <c r="AV80" s="17">
        <v>0</v>
      </c>
      <c r="AW80" s="17">
        <v>0</v>
      </c>
      <c r="AX80" s="17">
        <v>3513030</v>
      </c>
      <c r="AY80" s="17">
        <v>557.20000000000005</v>
      </c>
      <c r="AZ80" s="17">
        <v>21.963899999999999</v>
      </c>
      <c r="BA80" s="17">
        <v>404005</v>
      </c>
      <c r="BB80" s="17">
        <v>563951</v>
      </c>
      <c r="BC80" s="17">
        <v>287.053</v>
      </c>
      <c r="BD80" s="17">
        <v>1.3801300000000001</v>
      </c>
      <c r="BE80" s="17">
        <v>1042.21</v>
      </c>
      <c r="BF80" s="17">
        <v>469.87200000000001</v>
      </c>
      <c r="BG80" s="17">
        <v>6478.74</v>
      </c>
      <c r="BH80" s="17">
        <v>252.87700000000001</v>
      </c>
      <c r="BI80" s="17">
        <v>0.53818273912895398</v>
      </c>
      <c r="BJ80" s="17">
        <v>13550300</v>
      </c>
      <c r="BK80" s="17">
        <v>854.15200000000004</v>
      </c>
      <c r="BL80" s="17">
        <v>55.266199999999998</v>
      </c>
      <c r="BM80" s="17">
        <v>638073</v>
      </c>
      <c r="BN80" s="17">
        <v>883256</v>
      </c>
      <c r="BO80" s="17">
        <v>287.048</v>
      </c>
      <c r="BP80" s="17">
        <v>1.34857</v>
      </c>
      <c r="BQ80" s="17">
        <v>1110.55</v>
      </c>
      <c r="BR80" s="17">
        <v>574.99699999999996</v>
      </c>
      <c r="BS80" s="17">
        <v>6549.87</v>
      </c>
      <c r="BT80" s="17">
        <v>0</v>
      </c>
      <c r="BU80" s="17">
        <v>0</v>
      </c>
      <c r="BV80" s="17">
        <v>14403200</v>
      </c>
      <c r="BW80" s="17">
        <v>867.73299999999995</v>
      </c>
      <c r="BX80" s="17">
        <v>57.825200000000002</v>
      </c>
      <c r="BY80" s="17">
        <v>649292</v>
      </c>
      <c r="BZ80" s="17">
        <v>898374</v>
      </c>
      <c r="CA80" s="17">
        <v>287.04899999999998</v>
      </c>
      <c r="CB80" s="17">
        <v>1.34737</v>
      </c>
      <c r="CC80" s="17">
        <v>1113.3900000000001</v>
      </c>
      <c r="CD80" s="17">
        <v>579.29200000000003</v>
      </c>
      <c r="CE80" s="17">
        <v>6549.87</v>
      </c>
      <c r="CF80" s="17">
        <v>0</v>
      </c>
      <c r="CG80" s="17">
        <v>0</v>
      </c>
      <c r="CH80" s="17">
        <v>7696560</v>
      </c>
      <c r="CI80" s="17">
        <v>736.70100000000002</v>
      </c>
      <c r="CJ80" s="17">
        <v>36.395299999999999</v>
      </c>
      <c r="CK80" s="17">
        <v>543026</v>
      </c>
      <c r="CL80" s="17">
        <v>754497</v>
      </c>
      <c r="CM80" s="17">
        <v>287.05200000000002</v>
      </c>
      <c r="CN80" s="17">
        <v>1.36049</v>
      </c>
      <c r="CO80" s="17">
        <v>1083.3399999999999</v>
      </c>
      <c r="CP80" s="17">
        <v>536.42700000000002</v>
      </c>
      <c r="CQ80" s="17">
        <v>6549.87</v>
      </c>
      <c r="CR80" s="17">
        <v>536.42600000000004</v>
      </c>
      <c r="CS80" s="17">
        <v>0.99999813581344699</v>
      </c>
      <c r="CT80" s="17">
        <v>3640.2</v>
      </c>
      <c r="CU80" s="17">
        <v>88.721100000000007</v>
      </c>
      <c r="CV80" s="17">
        <v>0.14293</v>
      </c>
      <c r="CW80" s="17">
        <v>63867</v>
      </c>
      <c r="CX80" s="17">
        <v>89335.4</v>
      </c>
      <c r="CY80" s="17">
        <v>287.06099999999998</v>
      </c>
      <c r="CZ80" s="17">
        <v>1.3905400000000001</v>
      </c>
      <c r="DA80" s="17">
        <v>1022.11</v>
      </c>
      <c r="DB80" s="17">
        <v>188.16</v>
      </c>
      <c r="DC80" s="17">
        <v>6549.87</v>
      </c>
      <c r="DD80" s="17">
        <v>1272.04</v>
      </c>
      <c r="DE80" s="17">
        <v>6.7603900000000001</v>
      </c>
      <c r="DF80" s="19">
        <f t="shared" ref="DF80:DF99" si="44">CV80*DD80/(0.00001716*(CU80/273)^1.5*(273+111)/(CU80+111))</f>
        <v>29744261.958955456</v>
      </c>
      <c r="DG80" s="19">
        <f t="shared" ref="DG80:DG99" si="45">CX80+0.5*DD80^2</f>
        <v>898378.28079999995</v>
      </c>
      <c r="DJ80" s="2" t="s">
        <v>168</v>
      </c>
      <c r="DK80" s="2">
        <v>1150</v>
      </c>
      <c r="DL80" s="16">
        <f t="shared" si="42"/>
        <v>1650.4</v>
      </c>
      <c r="DM80" s="16">
        <f t="shared" si="43"/>
        <v>4794.4000000000005</v>
      </c>
      <c r="DU80" s="2">
        <v>5.9179945199999997</v>
      </c>
      <c r="DV80" s="2">
        <f t="shared" si="32"/>
        <v>0.24897244836679999</v>
      </c>
      <c r="DW80" s="2">
        <f t="shared" si="33"/>
        <v>112.45733282499302</v>
      </c>
      <c r="DX80" s="2">
        <f t="shared" si="34"/>
        <v>211.83988648860284</v>
      </c>
      <c r="DY80" s="2">
        <f t="shared" si="35"/>
        <v>1253.6672873569737</v>
      </c>
      <c r="DZ80" s="19">
        <f t="shared" si="36"/>
        <v>40035198.737816289</v>
      </c>
      <c r="EA80" s="2">
        <v>5.7739619199999996</v>
      </c>
      <c r="EB80" s="2">
        <f t="shared" si="37"/>
        <v>0.2638172582178</v>
      </c>
      <c r="EC80" s="2">
        <f t="shared" si="38"/>
        <v>117.41277800140202</v>
      </c>
      <c r="ED80" s="2">
        <f t="shared" si="39"/>
        <v>216.45694633529735</v>
      </c>
      <c r="EE80" s="2">
        <f t="shared" si="40"/>
        <v>1249.8141654594904</v>
      </c>
      <c r="EF80" s="19">
        <f t="shared" si="41"/>
        <v>40522054.678584598</v>
      </c>
    </row>
    <row r="81" spans="1:136" s="104" customFormat="1">
      <c r="A81" s="103">
        <v>79</v>
      </c>
      <c r="B81" s="104" t="s">
        <v>247</v>
      </c>
      <c r="C81" s="104">
        <v>250407</v>
      </c>
      <c r="D81" s="104" t="s">
        <v>149</v>
      </c>
      <c r="E81" s="104" t="s">
        <v>268</v>
      </c>
      <c r="F81" s="104">
        <v>6.76</v>
      </c>
      <c r="G81" s="104">
        <v>1015.4</v>
      </c>
      <c r="H81" s="104">
        <v>17.7</v>
      </c>
      <c r="I81" s="104">
        <v>36.5</v>
      </c>
      <c r="J81" s="104" t="s">
        <v>151</v>
      </c>
      <c r="K81" s="104">
        <v>252.6</v>
      </c>
      <c r="L81" s="104" t="s">
        <v>271</v>
      </c>
      <c r="M81" s="104" t="s">
        <v>153</v>
      </c>
      <c r="N81" s="104" t="s">
        <v>154</v>
      </c>
      <c r="O81" s="104">
        <v>5</v>
      </c>
      <c r="P81" s="104">
        <v>18.399999999999999</v>
      </c>
      <c r="Q81" s="104">
        <v>0.74</v>
      </c>
      <c r="R81" s="104">
        <v>2500000</v>
      </c>
      <c r="S81" s="104" t="s">
        <v>155</v>
      </c>
      <c r="T81" s="104" t="s">
        <v>167</v>
      </c>
      <c r="U81" s="104" t="s">
        <v>157</v>
      </c>
      <c r="V81" s="104">
        <v>1500000</v>
      </c>
      <c r="W81" s="104">
        <v>1280</v>
      </c>
      <c r="X81" s="104">
        <v>32</v>
      </c>
      <c r="Y81" s="104" t="s">
        <v>158</v>
      </c>
      <c r="Z81" s="104">
        <v>9.5000000000000001E-2</v>
      </c>
      <c r="AA81" s="105">
        <v>6.0001487363199999</v>
      </c>
      <c r="AB81" s="105">
        <v>18.344296</v>
      </c>
      <c r="AC81" s="105">
        <v>127.183467054841</v>
      </c>
      <c r="AD81" s="105">
        <v>1.35333088348272E-2</v>
      </c>
      <c r="AE81" s="105">
        <v>29.897998868851701</v>
      </c>
      <c r="AF81" s="105">
        <v>145.13961029148899</v>
      </c>
      <c r="AG81" s="105">
        <v>5.8147341218151398</v>
      </c>
      <c r="AH81" s="105">
        <v>1.998</v>
      </c>
      <c r="AI81" s="105">
        <v>779.78789769182799</v>
      </c>
      <c r="AJ81" s="105">
        <v>-10.4712</v>
      </c>
      <c r="AK81" s="105">
        <v>0.3332</v>
      </c>
      <c r="AL81" s="105">
        <v>600015</v>
      </c>
      <c r="AM81" s="105">
        <v>291.49400000000003</v>
      </c>
      <c r="AN81" s="105">
        <v>7.17056</v>
      </c>
      <c r="AO81" s="105">
        <v>209836</v>
      </c>
      <c r="AP81" s="105">
        <v>293514</v>
      </c>
      <c r="AQ81" s="105">
        <v>287.06400000000002</v>
      </c>
      <c r="AR81" s="105">
        <v>1.3905400000000001</v>
      </c>
      <c r="AS81" s="105">
        <v>1022.11</v>
      </c>
      <c r="AT81" s="105">
        <v>341.06</v>
      </c>
      <c r="AU81" s="105">
        <v>6316.39</v>
      </c>
      <c r="AV81" s="105">
        <v>0</v>
      </c>
      <c r="AW81" s="105">
        <v>0</v>
      </c>
      <c r="AX81" s="105">
        <v>3546080</v>
      </c>
      <c r="AY81" s="105">
        <v>558.74699999999996</v>
      </c>
      <c r="AZ81" s="105">
        <v>22.109100000000002</v>
      </c>
      <c r="BA81" s="105">
        <v>405177</v>
      </c>
      <c r="BB81" s="105">
        <v>565568</v>
      </c>
      <c r="BC81" s="105">
        <v>287.053</v>
      </c>
      <c r="BD81" s="105">
        <v>1.37995</v>
      </c>
      <c r="BE81" s="105">
        <v>1042.55</v>
      </c>
      <c r="BF81" s="105">
        <v>470.495</v>
      </c>
      <c r="BG81" s="105">
        <v>6478.94</v>
      </c>
      <c r="BH81" s="105">
        <v>252.90600000000001</v>
      </c>
      <c r="BI81" s="105">
        <v>0.53753174847766705</v>
      </c>
      <c r="BJ81" s="105">
        <v>13712400</v>
      </c>
      <c r="BK81" s="105">
        <v>857.24699999999996</v>
      </c>
      <c r="BL81" s="105">
        <v>55.725200000000001</v>
      </c>
      <c r="BM81" s="105">
        <v>640626</v>
      </c>
      <c r="BN81" s="105">
        <v>886698</v>
      </c>
      <c r="BO81" s="105">
        <v>287.048</v>
      </c>
      <c r="BP81" s="105">
        <v>1.3483000000000001</v>
      </c>
      <c r="BQ81" s="105">
        <v>1111.2</v>
      </c>
      <c r="BR81" s="105">
        <v>575.98</v>
      </c>
      <c r="BS81" s="105">
        <v>6550.47</v>
      </c>
      <c r="BT81" s="105">
        <v>0</v>
      </c>
      <c r="BU81" s="105">
        <v>0</v>
      </c>
      <c r="BV81" s="105">
        <v>14514000</v>
      </c>
      <c r="BW81" s="105">
        <v>869.91899999999998</v>
      </c>
      <c r="BX81" s="105">
        <v>58.123399999999997</v>
      </c>
      <c r="BY81" s="105">
        <v>651101</v>
      </c>
      <c r="BZ81" s="105">
        <v>900811</v>
      </c>
      <c r="CA81" s="105">
        <v>287.04899999999998</v>
      </c>
      <c r="CB81" s="105">
        <v>1.34718</v>
      </c>
      <c r="CC81" s="105">
        <v>1113.8499999999999</v>
      </c>
      <c r="CD81" s="105">
        <v>579.98</v>
      </c>
      <c r="CE81" s="105">
        <v>6550.47</v>
      </c>
      <c r="CF81" s="105">
        <v>0</v>
      </c>
      <c r="CG81" s="105">
        <v>0</v>
      </c>
      <c r="CH81" s="105">
        <v>7756410</v>
      </c>
      <c r="CI81" s="105">
        <v>738.62300000000005</v>
      </c>
      <c r="CJ81" s="105">
        <v>36.582900000000002</v>
      </c>
      <c r="CK81" s="105">
        <v>544558</v>
      </c>
      <c r="CL81" s="105">
        <v>756581</v>
      </c>
      <c r="CM81" s="105">
        <v>287.05099999999999</v>
      </c>
      <c r="CN81" s="105">
        <v>1.3602799999999999</v>
      </c>
      <c r="CO81" s="105">
        <v>1083.8</v>
      </c>
      <c r="CP81" s="105">
        <v>537.08500000000004</v>
      </c>
      <c r="CQ81" s="105">
        <v>6550.47</v>
      </c>
      <c r="CR81" s="105">
        <v>537.08399999999995</v>
      </c>
      <c r="CS81" s="105">
        <v>0.99999813809732196</v>
      </c>
      <c r="CT81" s="105">
        <v>3668.39</v>
      </c>
      <c r="CU81" s="105">
        <v>88.961299999999994</v>
      </c>
      <c r="CV81" s="105">
        <v>0.143648</v>
      </c>
      <c r="CW81" s="105">
        <v>64039.9</v>
      </c>
      <c r="CX81" s="105">
        <v>89577.3</v>
      </c>
      <c r="CY81" s="105">
        <v>287.06099999999998</v>
      </c>
      <c r="CZ81" s="105">
        <v>1.3905400000000001</v>
      </c>
      <c r="DA81" s="105">
        <v>1022.11</v>
      </c>
      <c r="DB81" s="105">
        <v>188.41499999999999</v>
      </c>
      <c r="DC81" s="105">
        <v>6550.47</v>
      </c>
      <c r="DD81" s="105">
        <v>1273.76</v>
      </c>
      <c r="DE81" s="105">
        <v>6.7604100000000003</v>
      </c>
      <c r="DF81" s="106">
        <f t="shared" si="44"/>
        <v>29848803.263347533</v>
      </c>
      <c r="DG81" s="106">
        <f t="shared" si="45"/>
        <v>900809.56880000001</v>
      </c>
      <c r="DH81" s="107"/>
      <c r="DJ81" s="104" t="s">
        <v>168</v>
      </c>
      <c r="DK81" s="104">
        <v>1340</v>
      </c>
      <c r="DL81" s="108">
        <f t="shared" si="42"/>
        <v>1839.8</v>
      </c>
      <c r="DM81" s="108">
        <f t="shared" si="43"/>
        <v>4836.8</v>
      </c>
      <c r="DU81" s="2">
        <v>5.9179945199999997</v>
      </c>
      <c r="DV81" s="2">
        <f t="shared" si="32"/>
        <v>0.25022314603647999</v>
      </c>
      <c r="DW81" s="2">
        <f t="shared" si="33"/>
        <v>112.761795363719</v>
      </c>
      <c r="DX81" s="2">
        <f t="shared" si="34"/>
        <v>212.12697817150351</v>
      </c>
      <c r="DY81" s="2">
        <f t="shared" si="35"/>
        <v>1255.3662943631173</v>
      </c>
      <c r="DZ81" s="19">
        <f t="shared" si="36"/>
        <v>40182446.191126592</v>
      </c>
      <c r="EA81" s="2">
        <v>5.7739619199999996</v>
      </c>
      <c r="EB81" s="2">
        <f t="shared" si="37"/>
        <v>0.26514252787007997</v>
      </c>
      <c r="EC81" s="2">
        <f t="shared" si="38"/>
        <v>117.730656716566</v>
      </c>
      <c r="ED81" s="2">
        <f t="shared" si="39"/>
        <v>216.75029519432957</v>
      </c>
      <c r="EE81" s="2">
        <f t="shared" si="40"/>
        <v>1251.5079506008178</v>
      </c>
      <c r="EF81" s="19">
        <f t="shared" si="41"/>
        <v>40672277.79882171</v>
      </c>
    </row>
    <row r="82" spans="1:136" s="104" customFormat="1">
      <c r="A82" s="103">
        <v>80</v>
      </c>
      <c r="B82" s="104" t="s">
        <v>247</v>
      </c>
      <c r="C82" s="104">
        <v>250407</v>
      </c>
      <c r="D82" s="104" t="s">
        <v>149</v>
      </c>
      <c r="E82" s="104" t="s">
        <v>272</v>
      </c>
      <c r="F82" s="104">
        <v>6.76</v>
      </c>
      <c r="G82" s="104">
        <v>1014.9</v>
      </c>
      <c r="H82" s="104">
        <v>17.899999999999999</v>
      </c>
      <c r="I82" s="104">
        <v>36.9</v>
      </c>
      <c r="J82" s="104" t="s">
        <v>151</v>
      </c>
      <c r="K82" s="104">
        <v>213.3</v>
      </c>
      <c r="L82" s="104" t="s">
        <v>264</v>
      </c>
      <c r="M82" s="104" t="s">
        <v>153</v>
      </c>
      <c r="N82" s="104" t="s">
        <v>154</v>
      </c>
      <c r="O82" s="104">
        <v>2.42</v>
      </c>
      <c r="P82" s="104">
        <v>18.3</v>
      </c>
      <c r="Q82" s="104">
        <v>0.75</v>
      </c>
      <c r="R82" s="104">
        <v>2500000</v>
      </c>
      <c r="S82" s="104" t="s">
        <v>155</v>
      </c>
      <c r="T82" s="104" t="s">
        <v>167</v>
      </c>
      <c r="U82" s="104" t="s">
        <v>157</v>
      </c>
      <c r="V82" s="104">
        <v>1500000</v>
      </c>
      <c r="W82" s="104">
        <v>1280</v>
      </c>
      <c r="X82" s="104">
        <v>32</v>
      </c>
      <c r="Y82" s="104" t="s">
        <v>158</v>
      </c>
      <c r="Z82" s="104">
        <v>9.5000000000000001E-2</v>
      </c>
      <c r="AA82" s="105">
        <v>3.4239337110400001</v>
      </c>
      <c r="AB82" s="105">
        <v>18.468243999999999</v>
      </c>
      <c r="AC82" s="105">
        <v>62.641876994944802</v>
      </c>
      <c r="AD82" s="105">
        <v>4.0895679374507998E-2</v>
      </c>
      <c r="AE82" s="105">
        <v>29.242640851635301</v>
      </c>
      <c r="AF82" s="105">
        <v>67.295084724527598</v>
      </c>
      <c r="AG82" s="105">
        <v>2.0210481845759198</v>
      </c>
      <c r="AH82" s="105">
        <v>2.0880000000000001</v>
      </c>
      <c r="AI82" s="105">
        <v>729.28821470244998</v>
      </c>
      <c r="AJ82" s="105">
        <v>-10.7928</v>
      </c>
      <c r="AK82" s="105">
        <v>0.33439999999999998</v>
      </c>
      <c r="AL82" s="105">
        <v>342393</v>
      </c>
      <c r="AM82" s="105">
        <v>291.61799999999999</v>
      </c>
      <c r="AN82" s="105">
        <v>4.0901899999999998</v>
      </c>
      <c r="AO82" s="105">
        <v>209925</v>
      </c>
      <c r="AP82" s="105">
        <v>293636</v>
      </c>
      <c r="AQ82" s="105">
        <v>287.05700000000002</v>
      </c>
      <c r="AR82" s="105">
        <v>1.39053</v>
      </c>
      <c r="AS82" s="105">
        <v>1022.1</v>
      </c>
      <c r="AT82" s="105">
        <v>341.13200000000001</v>
      </c>
      <c r="AU82" s="105">
        <v>6477.88</v>
      </c>
      <c r="AV82" s="105">
        <v>0</v>
      </c>
      <c r="AW82" s="105">
        <v>0</v>
      </c>
      <c r="AX82" s="105">
        <v>1760340</v>
      </c>
      <c r="AY82" s="105">
        <v>522.05700000000002</v>
      </c>
      <c r="AZ82" s="105">
        <v>11.7469</v>
      </c>
      <c r="BA82" s="105">
        <v>377470</v>
      </c>
      <c r="BB82" s="105">
        <v>527326</v>
      </c>
      <c r="BC82" s="105">
        <v>287.04899999999998</v>
      </c>
      <c r="BD82" s="105">
        <v>1.38409</v>
      </c>
      <c r="BE82" s="105">
        <v>1034.3900000000001</v>
      </c>
      <c r="BF82" s="105">
        <v>455.44099999999997</v>
      </c>
      <c r="BG82" s="105">
        <v>6609.47</v>
      </c>
      <c r="BH82" s="105">
        <v>253.93299999999999</v>
      </c>
      <c r="BI82" s="105">
        <v>0.55755410689858798</v>
      </c>
      <c r="BJ82" s="105">
        <v>6306710</v>
      </c>
      <c r="BK82" s="105">
        <v>779.93799999999999</v>
      </c>
      <c r="BL82" s="105">
        <v>28.169899999999998</v>
      </c>
      <c r="BM82" s="105">
        <v>577654</v>
      </c>
      <c r="BN82" s="105">
        <v>801535</v>
      </c>
      <c r="BO82" s="105">
        <v>287.05099999999999</v>
      </c>
      <c r="BP82" s="105">
        <v>1.3558699999999999</v>
      </c>
      <c r="BQ82" s="105">
        <v>1093.67</v>
      </c>
      <c r="BR82" s="105">
        <v>550.98</v>
      </c>
      <c r="BS82" s="105">
        <v>6669.16</v>
      </c>
      <c r="BT82" s="105">
        <v>0</v>
      </c>
      <c r="BU82" s="105">
        <v>0</v>
      </c>
      <c r="BV82" s="105">
        <v>6729510</v>
      </c>
      <c r="BW82" s="105">
        <v>793.30399999999997</v>
      </c>
      <c r="BX82" s="105">
        <v>29.5519</v>
      </c>
      <c r="BY82" s="105">
        <v>588426</v>
      </c>
      <c r="BZ82" s="105">
        <v>816145</v>
      </c>
      <c r="CA82" s="105">
        <v>287.05099999999999</v>
      </c>
      <c r="CB82" s="105">
        <v>1.35446</v>
      </c>
      <c r="CC82" s="105">
        <v>1096.8800000000001</v>
      </c>
      <c r="CD82" s="105">
        <v>555.37800000000004</v>
      </c>
      <c r="CE82" s="105">
        <v>6669.16</v>
      </c>
      <c r="CF82" s="105">
        <v>0</v>
      </c>
      <c r="CG82" s="105">
        <v>0</v>
      </c>
      <c r="CH82" s="105">
        <v>3592030</v>
      </c>
      <c r="CI82" s="105">
        <v>671.61</v>
      </c>
      <c r="CJ82" s="105">
        <v>18.632200000000001</v>
      </c>
      <c r="CK82" s="105">
        <v>491513</v>
      </c>
      <c r="CL82" s="105">
        <v>684299</v>
      </c>
      <c r="CM82" s="105">
        <v>287.05099999999999</v>
      </c>
      <c r="CN82" s="105">
        <v>1.36758</v>
      </c>
      <c r="CO82" s="105">
        <v>1067.98</v>
      </c>
      <c r="CP82" s="105">
        <v>513.50900000000001</v>
      </c>
      <c r="CQ82" s="105">
        <v>6669.16</v>
      </c>
      <c r="CR82" s="105">
        <v>513.50900000000001</v>
      </c>
      <c r="CS82" s="105">
        <v>1</v>
      </c>
      <c r="CT82" s="105">
        <v>1707.22</v>
      </c>
      <c r="CU82" s="105">
        <v>80.603999999999999</v>
      </c>
      <c r="CV82" s="105">
        <v>7.3784100000000005E-2</v>
      </c>
      <c r="CW82" s="105">
        <v>58023.8</v>
      </c>
      <c r="CX82" s="105">
        <v>81161.8</v>
      </c>
      <c r="CY82" s="105">
        <v>287.05799999999999</v>
      </c>
      <c r="CZ82" s="105">
        <v>1.39053</v>
      </c>
      <c r="DA82" s="105">
        <v>1022.1</v>
      </c>
      <c r="DB82" s="105">
        <v>179.34700000000001</v>
      </c>
      <c r="DC82" s="105">
        <v>6669.16</v>
      </c>
      <c r="DD82" s="105">
        <v>1212.42</v>
      </c>
      <c r="DE82" s="105">
        <v>6.7602099999999998</v>
      </c>
      <c r="DF82" s="106">
        <f t="shared" si="44"/>
        <v>16213658.392649597</v>
      </c>
      <c r="DG82" s="106">
        <f t="shared" si="45"/>
        <v>816142.92820000008</v>
      </c>
      <c r="DH82" s="107"/>
      <c r="DJ82" s="104" t="s">
        <v>168</v>
      </c>
      <c r="DK82" s="104">
        <v>1500</v>
      </c>
      <c r="DL82" s="108">
        <f t="shared" si="42"/>
        <v>2001.6</v>
      </c>
      <c r="DM82" s="108">
        <f t="shared" si="43"/>
        <v>5133.6000000000004</v>
      </c>
      <c r="DU82" s="2">
        <v>5.9179945199999997</v>
      </c>
      <c r="DV82" s="2">
        <f t="shared" si="32"/>
        <v>0.128525907979716</v>
      </c>
      <c r="DW82" s="2">
        <f t="shared" si="33"/>
        <v>102.16860312852</v>
      </c>
      <c r="DX82" s="2">
        <f t="shared" si="34"/>
        <v>201.91777275760765</v>
      </c>
      <c r="DY82" s="2">
        <f t="shared" si="35"/>
        <v>1194.9482726701274</v>
      </c>
      <c r="DZ82" s="19">
        <f t="shared" si="36"/>
        <v>21701127.820579905</v>
      </c>
      <c r="EA82" s="2">
        <v>5.7739619199999996</v>
      </c>
      <c r="EB82" s="2">
        <f t="shared" si="37"/>
        <v>0.13618917625458601</v>
      </c>
      <c r="EC82" s="2">
        <f t="shared" si="38"/>
        <v>106.67067425928001</v>
      </c>
      <c r="ED82" s="2">
        <f t="shared" si="39"/>
        <v>206.31857968960767</v>
      </c>
      <c r="EE82" s="2">
        <f t="shared" si="40"/>
        <v>1191.27562251628</v>
      </c>
      <c r="EF82" s="19">
        <f t="shared" si="41"/>
        <v>21942326.480213203</v>
      </c>
    </row>
    <row r="83" spans="1:136" s="104" customFormat="1">
      <c r="A83" s="103">
        <v>81</v>
      </c>
      <c r="B83" s="104" t="s">
        <v>254</v>
      </c>
      <c r="C83" s="104">
        <v>250408</v>
      </c>
      <c r="D83" s="104" t="s">
        <v>149</v>
      </c>
      <c r="E83" s="104" t="s">
        <v>268</v>
      </c>
      <c r="F83" s="104">
        <v>6.76</v>
      </c>
      <c r="G83" s="104">
        <v>1014.2</v>
      </c>
      <c r="H83" s="104">
        <v>16.5</v>
      </c>
      <c r="I83" s="104">
        <v>51.6</v>
      </c>
      <c r="J83" s="104" t="s">
        <v>151</v>
      </c>
      <c r="K83" s="104">
        <v>238.8</v>
      </c>
      <c r="L83" s="104" t="s">
        <v>273</v>
      </c>
      <c r="M83" s="104" t="s">
        <v>153</v>
      </c>
      <c r="N83" s="104" t="s">
        <v>154</v>
      </c>
      <c r="O83" s="104">
        <v>5</v>
      </c>
      <c r="P83" s="104">
        <v>17.7</v>
      </c>
      <c r="Q83" s="104">
        <v>0.65</v>
      </c>
      <c r="R83" s="104">
        <v>2500000</v>
      </c>
      <c r="S83" s="104" t="s">
        <v>155</v>
      </c>
      <c r="T83" s="104" t="s">
        <v>274</v>
      </c>
      <c r="U83" s="104" t="s">
        <v>157</v>
      </c>
      <c r="V83" s="104">
        <v>1500000</v>
      </c>
      <c r="W83" s="104">
        <v>1280</v>
      </c>
      <c r="X83" s="104">
        <v>32</v>
      </c>
      <c r="Y83" s="104" t="s">
        <v>158</v>
      </c>
      <c r="Z83" s="104">
        <v>9.5000000000000001E-2</v>
      </c>
      <c r="AA83" s="104">
        <v>5.9892815270000002</v>
      </c>
      <c r="AB83" s="109">
        <v>17.824648</v>
      </c>
      <c r="AC83" s="104">
        <v>128.30828729999999</v>
      </c>
      <c r="AD83" s="104">
        <v>1.0986251000000001E-2</v>
      </c>
      <c r="AE83" s="104">
        <v>26.72953004</v>
      </c>
      <c r="AF83" s="104">
        <v>144.55798279999999</v>
      </c>
      <c r="AG83" s="104">
        <v>5.790207219</v>
      </c>
      <c r="AH83" s="104">
        <v>2.1112000000000002</v>
      </c>
      <c r="AI83" s="104">
        <v>780.27465670000004</v>
      </c>
      <c r="AJ83" s="110">
        <v>-10.548400000000001</v>
      </c>
      <c r="AK83" s="110">
        <v>0.314</v>
      </c>
      <c r="AL83" s="111">
        <v>598928</v>
      </c>
      <c r="AM83" s="111">
        <v>290.97500000000002</v>
      </c>
      <c r="AN83" s="111">
        <v>7.17035</v>
      </c>
      <c r="AO83" s="111">
        <v>209462</v>
      </c>
      <c r="AP83" s="111">
        <v>292990</v>
      </c>
      <c r="AQ83" s="111">
        <v>287.06400000000002</v>
      </c>
      <c r="AR83" s="111">
        <v>1.3905400000000001</v>
      </c>
      <c r="AS83" s="111">
        <v>1022.11</v>
      </c>
      <c r="AT83" s="111">
        <v>340.755</v>
      </c>
      <c r="AU83" s="111">
        <v>6315.07</v>
      </c>
      <c r="AV83" s="111">
        <v>0</v>
      </c>
      <c r="AW83" s="111">
        <v>0</v>
      </c>
      <c r="AX83" s="111">
        <v>3550680</v>
      </c>
      <c r="AY83" s="111">
        <v>558.66200000000003</v>
      </c>
      <c r="AZ83" s="111">
        <v>22.141100000000002</v>
      </c>
      <c r="BA83" s="111">
        <v>405113</v>
      </c>
      <c r="BB83" s="111">
        <v>565478</v>
      </c>
      <c r="BC83" s="111">
        <v>287.053</v>
      </c>
      <c r="BD83" s="111">
        <v>1.3799600000000001</v>
      </c>
      <c r="BE83" s="111">
        <v>1042.53</v>
      </c>
      <c r="BF83" s="111">
        <v>470.46100000000001</v>
      </c>
      <c r="BG83" s="111">
        <v>6478.41</v>
      </c>
      <c r="BH83" s="111">
        <v>252.69</v>
      </c>
      <c r="BI83" s="111">
        <v>0.53711147151411098</v>
      </c>
      <c r="BJ83" s="111">
        <v>13752400</v>
      </c>
      <c r="BK83" s="111">
        <v>857.67499999999995</v>
      </c>
      <c r="BL83" s="111">
        <v>55.860100000000003</v>
      </c>
      <c r="BM83" s="111">
        <v>640979</v>
      </c>
      <c r="BN83" s="111">
        <v>887173</v>
      </c>
      <c r="BO83" s="111">
        <v>287.048</v>
      </c>
      <c r="BP83" s="111">
        <v>1.34826</v>
      </c>
      <c r="BQ83" s="111">
        <v>1111.29</v>
      </c>
      <c r="BR83" s="111">
        <v>576.11500000000001</v>
      </c>
      <c r="BS83" s="111">
        <v>6550.18</v>
      </c>
      <c r="BT83" s="111">
        <v>0</v>
      </c>
      <c r="BU83" s="111">
        <v>0</v>
      </c>
      <c r="BV83" s="111">
        <v>14455800</v>
      </c>
      <c r="BW83" s="111">
        <v>868.79700000000003</v>
      </c>
      <c r="BX83" s="111">
        <v>57.965200000000003</v>
      </c>
      <c r="BY83" s="111">
        <v>650172</v>
      </c>
      <c r="BZ83" s="111">
        <v>899560</v>
      </c>
      <c r="CA83" s="111">
        <v>287.04899999999998</v>
      </c>
      <c r="CB83" s="111">
        <v>1.34728</v>
      </c>
      <c r="CC83" s="111">
        <v>1113.6199999999999</v>
      </c>
      <c r="CD83" s="111">
        <v>579.62699999999995</v>
      </c>
      <c r="CE83" s="111">
        <v>6550.18</v>
      </c>
      <c r="CF83" s="111">
        <v>0</v>
      </c>
      <c r="CG83" s="111">
        <v>0</v>
      </c>
      <c r="CH83" s="111">
        <v>7724990</v>
      </c>
      <c r="CI83" s="111">
        <v>737.63599999999997</v>
      </c>
      <c r="CJ83" s="111">
        <v>36.483400000000003</v>
      </c>
      <c r="CK83" s="111">
        <v>543772</v>
      </c>
      <c r="CL83" s="111">
        <v>755511</v>
      </c>
      <c r="CM83" s="111">
        <v>287.05200000000002</v>
      </c>
      <c r="CN83" s="111">
        <v>1.36039</v>
      </c>
      <c r="CO83" s="111">
        <v>1083.56</v>
      </c>
      <c r="CP83" s="111">
        <v>536.74699999999996</v>
      </c>
      <c r="CQ83" s="111">
        <v>6550.19</v>
      </c>
      <c r="CR83" s="111">
        <v>536.74699999999996</v>
      </c>
      <c r="CS83" s="111">
        <v>1</v>
      </c>
      <c r="CT83" s="111">
        <v>3653.59</v>
      </c>
      <c r="CU83" s="111">
        <v>88.837999999999994</v>
      </c>
      <c r="CV83" s="111">
        <v>0.14326700000000001</v>
      </c>
      <c r="CW83" s="111">
        <v>63951.199999999997</v>
      </c>
      <c r="CX83" s="111">
        <v>89453.1</v>
      </c>
      <c r="CY83" s="111">
        <v>287.06099999999998</v>
      </c>
      <c r="CZ83" s="111">
        <v>1.3905400000000001</v>
      </c>
      <c r="DA83" s="111">
        <v>1022.11</v>
      </c>
      <c r="DB83" s="111">
        <v>188.28399999999999</v>
      </c>
      <c r="DC83" s="111">
        <v>6550.19</v>
      </c>
      <c r="DD83" s="111">
        <v>1272.8800000000001</v>
      </c>
      <c r="DE83" s="111">
        <v>6.7603999999999997</v>
      </c>
      <c r="DF83" s="106">
        <f t="shared" si="44"/>
        <v>29792641.297223713</v>
      </c>
      <c r="DG83" s="106">
        <f t="shared" si="45"/>
        <v>899564.84720000008</v>
      </c>
      <c r="DH83" s="107"/>
      <c r="DJ83" s="104" t="s">
        <v>168</v>
      </c>
      <c r="DK83" s="104">
        <v>1700</v>
      </c>
      <c r="DL83" s="108">
        <f t="shared" si="42"/>
        <v>2171</v>
      </c>
      <c r="DM83" s="108">
        <f t="shared" si="43"/>
        <v>5337.8</v>
      </c>
      <c r="DU83" s="2">
        <v>5.9179945199999997</v>
      </c>
      <c r="DV83" s="2">
        <f t="shared" si="32"/>
        <v>0.24955947498892</v>
      </c>
      <c r="DW83" s="2">
        <f t="shared" si="33"/>
        <v>112.60550797393999</v>
      </c>
      <c r="DX83" s="2">
        <f t="shared" si="34"/>
        <v>211.97949185597415</v>
      </c>
      <c r="DY83" s="2">
        <f t="shared" si="35"/>
        <v>1254.4934711560395</v>
      </c>
      <c r="DZ83" s="19">
        <f t="shared" si="36"/>
        <v>40103379.999898411</v>
      </c>
      <c r="EA83" s="2">
        <v>5.7739619199999996</v>
      </c>
      <c r="EB83" s="2">
        <f t="shared" si="37"/>
        <v>0.26443928589582</v>
      </c>
      <c r="EC83" s="2">
        <f t="shared" si="38"/>
        <v>117.56748250516</v>
      </c>
      <c r="ED83" s="2">
        <f t="shared" si="39"/>
        <v>216.59959440792477</v>
      </c>
      <c r="EE83" s="2">
        <f t="shared" si="40"/>
        <v>1250.6378099988026</v>
      </c>
      <c r="EF83" s="19">
        <f t="shared" si="41"/>
        <v>40591641.070139252</v>
      </c>
    </row>
    <row r="84" spans="1:136" s="104" customFormat="1">
      <c r="A84" s="103">
        <v>82</v>
      </c>
      <c r="B84" s="104" t="s">
        <v>254</v>
      </c>
      <c r="C84" s="104">
        <v>250408</v>
      </c>
      <c r="D84" s="104" t="s">
        <v>149</v>
      </c>
      <c r="E84" s="104" t="s">
        <v>272</v>
      </c>
      <c r="F84" s="104">
        <v>6.76</v>
      </c>
      <c r="G84" s="104">
        <v>1013.6</v>
      </c>
      <c r="H84" s="104">
        <v>17.3</v>
      </c>
      <c r="I84" s="104">
        <v>42.5</v>
      </c>
      <c r="J84" s="104" t="s">
        <v>151</v>
      </c>
      <c r="K84" s="104">
        <v>200</v>
      </c>
      <c r="L84" s="104" t="s">
        <v>264</v>
      </c>
      <c r="M84" s="104" t="s">
        <v>153</v>
      </c>
      <c r="N84" s="104" t="s">
        <v>154</v>
      </c>
      <c r="O84" s="104">
        <v>2.42</v>
      </c>
      <c r="P84" s="104">
        <v>18.100000000000001</v>
      </c>
      <c r="Q84" s="104">
        <v>0.67</v>
      </c>
      <c r="R84" s="104">
        <v>2500000</v>
      </c>
      <c r="S84" s="104" t="s">
        <v>155</v>
      </c>
      <c r="T84" s="104" t="s">
        <v>274</v>
      </c>
      <c r="U84" s="104" t="s">
        <v>157</v>
      </c>
      <c r="V84" s="104">
        <v>1500000</v>
      </c>
      <c r="W84" s="104">
        <v>1280</v>
      </c>
      <c r="X84" s="104">
        <v>32</v>
      </c>
      <c r="Y84" s="104" t="s">
        <v>158</v>
      </c>
      <c r="Z84" s="104">
        <v>9.5000000000000001E-2</v>
      </c>
      <c r="AA84" s="104">
        <v>3.4333666250000001</v>
      </c>
      <c r="AB84" s="109">
        <v>18.335955999999999</v>
      </c>
      <c r="AC84" s="104">
        <v>63.811463009999997</v>
      </c>
      <c r="AD84" s="104">
        <v>1.7411395E-2</v>
      </c>
      <c r="AE84" s="104">
        <v>28.33294476</v>
      </c>
      <c r="AF84" s="104">
        <v>66.797060950000002</v>
      </c>
      <c r="AG84" s="104">
        <v>2.6912292880000002</v>
      </c>
      <c r="AH84" s="104">
        <v>2.1659999999999999</v>
      </c>
      <c r="AI84" s="104">
        <v>729.71395210000003</v>
      </c>
      <c r="AJ84" s="110">
        <v>-10.9636</v>
      </c>
      <c r="AK84" s="110">
        <v>0.314</v>
      </c>
      <c r="AL84" s="111">
        <v>343337</v>
      </c>
      <c r="AM84" s="111">
        <v>291.48599999999999</v>
      </c>
      <c r="AN84" s="111">
        <v>4.1033200000000001</v>
      </c>
      <c r="AO84" s="111">
        <v>209830</v>
      </c>
      <c r="AP84" s="111">
        <v>293503</v>
      </c>
      <c r="AQ84" s="111">
        <v>287.05700000000002</v>
      </c>
      <c r="AR84" s="111">
        <v>1.39053</v>
      </c>
      <c r="AS84" s="111">
        <v>1022.1</v>
      </c>
      <c r="AT84" s="111">
        <v>341.05399999999997</v>
      </c>
      <c r="AU84" s="111">
        <v>6476.62</v>
      </c>
      <c r="AV84" s="111">
        <v>0</v>
      </c>
      <c r="AW84" s="111">
        <v>0</v>
      </c>
      <c r="AX84" s="111">
        <v>1768160</v>
      </c>
      <c r="AY84" s="111">
        <v>522.24400000000003</v>
      </c>
      <c r="AZ84" s="111">
        <v>11.7948</v>
      </c>
      <c r="BA84" s="111">
        <v>377611</v>
      </c>
      <c r="BB84" s="111">
        <v>527521</v>
      </c>
      <c r="BC84" s="111">
        <v>287.04899999999998</v>
      </c>
      <c r="BD84" s="111">
        <v>1.3840699999999999</v>
      </c>
      <c r="BE84" s="111">
        <v>1034.43</v>
      </c>
      <c r="BF84" s="111">
        <v>455.51900000000001</v>
      </c>
      <c r="BG84" s="111">
        <v>6608.57</v>
      </c>
      <c r="BH84" s="111">
        <v>253.86199999999999</v>
      </c>
      <c r="BI84" s="111">
        <v>0.55730276892950703</v>
      </c>
      <c r="BJ84" s="111">
        <v>6340710</v>
      </c>
      <c r="BK84" s="111">
        <v>780.49300000000005</v>
      </c>
      <c r="BL84" s="111">
        <v>28.301500000000001</v>
      </c>
      <c r="BM84" s="111">
        <v>578101</v>
      </c>
      <c r="BN84" s="111">
        <v>802142</v>
      </c>
      <c r="BO84" s="111">
        <v>287.05099999999999</v>
      </c>
      <c r="BP84" s="111">
        <v>1.35581</v>
      </c>
      <c r="BQ84" s="111">
        <v>1093.8</v>
      </c>
      <c r="BR84" s="111">
        <v>551.16399999999999</v>
      </c>
      <c r="BS84" s="111">
        <v>6668.39</v>
      </c>
      <c r="BT84" s="111">
        <v>0</v>
      </c>
      <c r="BU84" s="111">
        <v>0</v>
      </c>
      <c r="BV84" s="111">
        <v>6679710</v>
      </c>
      <c r="BW84" s="111">
        <v>791.21400000000006</v>
      </c>
      <c r="BX84" s="111">
        <v>29.410699999999999</v>
      </c>
      <c r="BY84" s="111">
        <v>586739</v>
      </c>
      <c r="BZ84" s="111">
        <v>813858</v>
      </c>
      <c r="CA84" s="111">
        <v>287.05099999999999</v>
      </c>
      <c r="CB84" s="111">
        <v>1.3546800000000001</v>
      </c>
      <c r="CC84" s="111">
        <v>1096.3800000000001</v>
      </c>
      <c r="CD84" s="111">
        <v>554.69299999999998</v>
      </c>
      <c r="CE84" s="111">
        <v>6668.39</v>
      </c>
      <c r="CF84" s="111">
        <v>0</v>
      </c>
      <c r="CG84" s="111">
        <v>0</v>
      </c>
      <c r="CH84" s="111">
        <v>3565510</v>
      </c>
      <c r="CI84" s="111">
        <v>669.79300000000001</v>
      </c>
      <c r="CJ84" s="111">
        <v>18.544799999999999</v>
      </c>
      <c r="CK84" s="111">
        <v>490086</v>
      </c>
      <c r="CL84" s="111">
        <v>682350</v>
      </c>
      <c r="CM84" s="111">
        <v>287.05099999999999</v>
      </c>
      <c r="CN84" s="111">
        <v>1.36778</v>
      </c>
      <c r="CO84" s="111">
        <v>1067.55</v>
      </c>
      <c r="CP84" s="111">
        <v>512.851</v>
      </c>
      <c r="CQ84" s="111">
        <v>6668.39</v>
      </c>
      <c r="CR84" s="111">
        <v>512.85</v>
      </c>
      <c r="CS84" s="111">
        <v>0.99999805011592102</v>
      </c>
      <c r="CT84" s="111">
        <v>1694.68</v>
      </c>
      <c r="CU84" s="111">
        <v>80.379400000000004</v>
      </c>
      <c r="CV84" s="111">
        <v>7.3446899999999996E-2</v>
      </c>
      <c r="CW84" s="111">
        <v>57862.1</v>
      </c>
      <c r="CX84" s="111">
        <v>80935.7</v>
      </c>
      <c r="CY84" s="111">
        <v>287.05799999999999</v>
      </c>
      <c r="CZ84" s="111">
        <v>1.39053</v>
      </c>
      <c r="DA84" s="111">
        <v>1022.1</v>
      </c>
      <c r="DB84" s="111">
        <v>179.09700000000001</v>
      </c>
      <c r="DC84" s="111">
        <v>6668.39</v>
      </c>
      <c r="DD84" s="111">
        <v>1210.72</v>
      </c>
      <c r="DE84" s="111">
        <v>6.7601500000000003</v>
      </c>
      <c r="DF84" s="106">
        <f t="shared" si="44"/>
        <v>16165557.922157019</v>
      </c>
      <c r="DG84" s="106">
        <f t="shared" si="45"/>
        <v>813857.15919999999</v>
      </c>
      <c r="DH84" s="107"/>
      <c r="DJ84" s="104" t="s">
        <v>168</v>
      </c>
      <c r="DK84" s="104">
        <v>1375</v>
      </c>
      <c r="DL84" s="108">
        <f t="shared" si="42"/>
        <v>1846</v>
      </c>
      <c r="DM84" s="108">
        <f t="shared" si="43"/>
        <v>5095</v>
      </c>
      <c r="DU84" s="2">
        <v>5.9179945199999997</v>
      </c>
      <c r="DV84" s="2">
        <f t="shared" si="32"/>
        <v>0.12793853297384397</v>
      </c>
      <c r="DW84" s="2">
        <f t="shared" si="33"/>
        <v>101.88391417682202</v>
      </c>
      <c r="DX84" s="2">
        <f t="shared" si="34"/>
        <v>201.63631032339129</v>
      </c>
      <c r="DY84" s="2">
        <f t="shared" si="35"/>
        <v>1193.2825795268491</v>
      </c>
      <c r="DZ84" s="19">
        <f t="shared" si="36"/>
        <v>21633388.243952919</v>
      </c>
      <c r="EA84" s="2">
        <v>5.7739619199999996</v>
      </c>
      <c r="EB84" s="2">
        <f t="shared" si="37"/>
        <v>0.13556677942067399</v>
      </c>
      <c r="EC84" s="2">
        <f t="shared" si="38"/>
        <v>106.37344045650801</v>
      </c>
      <c r="ED84" s="2">
        <f t="shared" si="39"/>
        <v>206.03098276898785</v>
      </c>
      <c r="EE84" s="2">
        <f t="shared" si="40"/>
        <v>1189.615048848312</v>
      </c>
      <c r="EF84" s="19">
        <f t="shared" si="41"/>
        <v>21873176.696865864</v>
      </c>
    </row>
    <row r="85" spans="1:136" s="104" customFormat="1">
      <c r="A85" s="103">
        <v>83</v>
      </c>
      <c r="B85" s="104" t="s">
        <v>247</v>
      </c>
      <c r="C85" s="104">
        <v>250414</v>
      </c>
      <c r="D85" s="104" t="s">
        <v>149</v>
      </c>
      <c r="E85" s="104" t="s">
        <v>275</v>
      </c>
      <c r="F85" s="104">
        <v>6.76</v>
      </c>
      <c r="G85" s="104">
        <v>996.3</v>
      </c>
      <c r="H85" s="104">
        <v>18.5</v>
      </c>
      <c r="I85" s="104">
        <v>40.700000000000003</v>
      </c>
      <c r="J85" s="104" t="s">
        <v>151</v>
      </c>
      <c r="K85" s="104">
        <v>215.5</v>
      </c>
      <c r="L85" s="104" t="s">
        <v>260</v>
      </c>
      <c r="M85" s="104" t="s">
        <v>153</v>
      </c>
      <c r="N85" s="104" t="s">
        <v>154</v>
      </c>
      <c r="O85" s="104">
        <v>1.1200000000000001</v>
      </c>
      <c r="P85" s="104">
        <v>20.7</v>
      </c>
      <c r="Q85" s="104">
        <v>0.75</v>
      </c>
      <c r="R85" s="104">
        <v>2500000</v>
      </c>
      <c r="S85" s="104" t="s">
        <v>155</v>
      </c>
      <c r="T85" s="104" t="s">
        <v>167</v>
      </c>
      <c r="U85" s="104" t="s">
        <v>157</v>
      </c>
      <c r="V85" s="104">
        <v>1500000</v>
      </c>
      <c r="W85" s="104">
        <v>1280</v>
      </c>
      <c r="X85" s="104">
        <v>32</v>
      </c>
      <c r="Y85" s="104" t="s">
        <v>158</v>
      </c>
      <c r="Z85" s="104">
        <v>9.5000000000000001E-2</v>
      </c>
      <c r="AA85" s="105">
        <v>2.1149937136000001</v>
      </c>
      <c r="AB85" s="105">
        <v>20.900463999999999</v>
      </c>
      <c r="AC85" s="105">
        <v>46.6736858909521</v>
      </c>
      <c r="AD85" s="105">
        <v>3.71059777449061E-2</v>
      </c>
      <c r="AE85" s="105">
        <v>24.4505406439621</v>
      </c>
      <c r="AF85" s="105">
        <v>50.037638858777399</v>
      </c>
      <c r="AG85" s="105">
        <v>1.7105783943439701</v>
      </c>
      <c r="AH85" s="105">
        <v>2.5956000000000001</v>
      </c>
      <c r="AI85" s="105">
        <v>770.65351418002501</v>
      </c>
      <c r="AJ85" s="111">
        <v>-10.086</v>
      </c>
      <c r="AK85" s="111">
        <v>0.31280000000000002</v>
      </c>
      <c r="AL85" s="110">
        <v>211499</v>
      </c>
      <c r="AM85" s="110">
        <v>294.05</v>
      </c>
      <c r="AN85" s="110">
        <v>2.5057</v>
      </c>
      <c r="AO85" s="110">
        <v>211676</v>
      </c>
      <c r="AP85" s="110">
        <v>296083</v>
      </c>
      <c r="AQ85" s="110">
        <v>287.05099999999999</v>
      </c>
      <c r="AR85" s="110">
        <v>1.39052</v>
      </c>
      <c r="AS85" s="110">
        <v>1022.09</v>
      </c>
      <c r="AT85" s="110">
        <v>342.55099999999999</v>
      </c>
      <c r="AU85" s="110">
        <v>6624.56</v>
      </c>
      <c r="AV85" s="110">
        <v>0</v>
      </c>
      <c r="AW85" s="110">
        <v>0</v>
      </c>
      <c r="AX85" s="110">
        <v>1209050</v>
      </c>
      <c r="AY85" s="110">
        <v>554.14200000000005</v>
      </c>
      <c r="AZ85" s="110">
        <v>7.6006299999999998</v>
      </c>
      <c r="BA85" s="110">
        <v>401691</v>
      </c>
      <c r="BB85" s="110">
        <v>560763</v>
      </c>
      <c r="BC85" s="110">
        <v>287.06099999999998</v>
      </c>
      <c r="BD85" s="110">
        <v>1.3804799999999999</v>
      </c>
      <c r="BE85" s="110">
        <v>1041.53</v>
      </c>
      <c r="BF85" s="110">
        <v>468.63799999999998</v>
      </c>
      <c r="BG85" s="110">
        <v>6779.23</v>
      </c>
      <c r="BH85" s="110">
        <v>254.06100000000001</v>
      </c>
      <c r="BI85" s="110">
        <v>0.54212633205160499</v>
      </c>
      <c r="BJ85" s="110">
        <v>4593430</v>
      </c>
      <c r="BK85" s="110">
        <v>844.67700000000002</v>
      </c>
      <c r="BL85" s="110">
        <v>18.944800000000001</v>
      </c>
      <c r="BM85" s="110">
        <v>630259</v>
      </c>
      <c r="BN85" s="110">
        <v>872723</v>
      </c>
      <c r="BO85" s="110">
        <v>287.05</v>
      </c>
      <c r="BP85" s="110">
        <v>1.34941</v>
      </c>
      <c r="BQ85" s="110">
        <v>1108.58</v>
      </c>
      <c r="BR85" s="110">
        <v>571.97299999999996</v>
      </c>
      <c r="BS85" s="110">
        <v>6848.01</v>
      </c>
      <c r="BT85" s="110">
        <v>0</v>
      </c>
      <c r="BU85" s="110">
        <v>0</v>
      </c>
      <c r="BV85" s="110">
        <v>5003760</v>
      </c>
      <c r="BW85" s="110">
        <v>863.577</v>
      </c>
      <c r="BX85" s="110">
        <v>20.185500000000001</v>
      </c>
      <c r="BY85" s="110">
        <v>645846</v>
      </c>
      <c r="BZ85" s="110">
        <v>893736</v>
      </c>
      <c r="CA85" s="110">
        <v>287.04899999999998</v>
      </c>
      <c r="CB85" s="110">
        <v>1.3477399999999999</v>
      </c>
      <c r="CC85" s="110">
        <v>1112.52</v>
      </c>
      <c r="CD85" s="110">
        <v>577.97900000000004</v>
      </c>
      <c r="CE85" s="110">
        <v>6848.01</v>
      </c>
      <c r="CF85" s="110">
        <v>0</v>
      </c>
      <c r="CG85" s="110">
        <v>0</v>
      </c>
      <c r="CH85" s="110">
        <v>2673470</v>
      </c>
      <c r="CI85" s="110">
        <v>733.04300000000001</v>
      </c>
      <c r="CJ85" s="110">
        <v>12.705299999999999</v>
      </c>
      <c r="CK85" s="110">
        <v>540110</v>
      </c>
      <c r="CL85" s="110">
        <v>750531</v>
      </c>
      <c r="CM85" s="110">
        <v>287.05099999999999</v>
      </c>
      <c r="CN85" s="110">
        <v>1.3608800000000001</v>
      </c>
      <c r="CO85" s="110">
        <v>1082.47</v>
      </c>
      <c r="CP85" s="110">
        <v>535.173</v>
      </c>
      <c r="CQ85" s="110">
        <v>6848.01</v>
      </c>
      <c r="CR85" s="110">
        <v>535.17200000000003</v>
      </c>
      <c r="CS85" s="110">
        <v>0.99999813144534599</v>
      </c>
      <c r="CT85" s="110">
        <v>1271.04</v>
      </c>
      <c r="CU85" s="110">
        <v>88.262799999999999</v>
      </c>
      <c r="CV85" s="110">
        <v>5.0168200000000003E-2</v>
      </c>
      <c r="CW85" s="110">
        <v>63537.1</v>
      </c>
      <c r="CX85" s="110">
        <v>88872.8</v>
      </c>
      <c r="CY85" s="110">
        <v>287.04700000000003</v>
      </c>
      <c r="CZ85" s="110">
        <v>1.39052</v>
      </c>
      <c r="DA85" s="110">
        <v>1022.09</v>
      </c>
      <c r="DB85" s="110">
        <v>187.67400000000001</v>
      </c>
      <c r="DC85" s="110">
        <v>6848.01</v>
      </c>
      <c r="DD85" s="110">
        <v>1268.75</v>
      </c>
      <c r="DE85" s="110">
        <v>6.7603900000000001</v>
      </c>
      <c r="DF85" s="106">
        <f t="shared" si="44"/>
        <v>10470314.206488525</v>
      </c>
      <c r="DG85" s="106">
        <f t="shared" si="45"/>
        <v>893736.08125000005</v>
      </c>
      <c r="DH85" s="107"/>
      <c r="DJ85" s="104" t="s">
        <v>168</v>
      </c>
      <c r="DK85" s="104">
        <v>1020</v>
      </c>
      <c r="DL85" s="108">
        <f t="shared" si="42"/>
        <v>1489.2</v>
      </c>
      <c r="DM85" s="108">
        <f t="shared" si="43"/>
        <v>5382.6</v>
      </c>
      <c r="DU85" s="2">
        <v>5.9179945199999997</v>
      </c>
      <c r="DV85" s="2">
        <f t="shared" si="32"/>
        <v>8.7388928735431998E-2</v>
      </c>
      <c r="DW85" s="2">
        <f t="shared" si="33"/>
        <v>111.87642032916401</v>
      </c>
      <c r="DX85" s="2">
        <f t="shared" si="34"/>
        <v>211.29272351648623</v>
      </c>
      <c r="DY85" s="2">
        <f t="shared" si="35"/>
        <v>1250.4291798864406</v>
      </c>
      <c r="DZ85" s="19">
        <f t="shared" si="36"/>
        <v>14088581.184160002</v>
      </c>
      <c r="EA85" s="2">
        <v>5.7739619199999996</v>
      </c>
      <c r="EB85" s="2">
        <f t="shared" si="37"/>
        <v>9.2599433105172005E-2</v>
      </c>
      <c r="EC85" s="2">
        <f t="shared" si="38"/>
        <v>116.80626753029601</v>
      </c>
      <c r="ED85" s="2">
        <f t="shared" si="39"/>
        <v>215.89785792161246</v>
      </c>
      <c r="EE85" s="2">
        <f t="shared" si="40"/>
        <v>1246.5860102489605</v>
      </c>
      <c r="EF85" s="19">
        <f t="shared" si="41"/>
        <v>14259112.253780149</v>
      </c>
    </row>
    <row r="86" spans="1:136" s="104" customFormat="1">
      <c r="A86" s="103">
        <v>84</v>
      </c>
      <c r="B86" s="104" t="s">
        <v>276</v>
      </c>
      <c r="C86" s="104">
        <v>250418</v>
      </c>
      <c r="D86" s="104" t="s">
        <v>149</v>
      </c>
      <c r="E86" s="104" t="s">
        <v>277</v>
      </c>
      <c r="F86" s="104">
        <v>6.76</v>
      </c>
      <c r="G86" s="104">
        <v>1011.3</v>
      </c>
      <c r="H86" s="104">
        <v>18.5</v>
      </c>
      <c r="I86" s="104">
        <v>59.2</v>
      </c>
      <c r="J86" s="104" t="s">
        <v>151</v>
      </c>
      <c r="K86" s="104">
        <v>225.7</v>
      </c>
      <c r="L86" s="104" t="s">
        <v>278</v>
      </c>
      <c r="M86" s="104" t="s">
        <v>153</v>
      </c>
      <c r="N86" s="104" t="s">
        <v>154</v>
      </c>
      <c r="O86" s="104">
        <v>1.75</v>
      </c>
      <c r="P86" s="104">
        <v>20.3</v>
      </c>
      <c r="Q86" s="104">
        <v>0.74</v>
      </c>
      <c r="R86" s="104">
        <v>2500000</v>
      </c>
      <c r="S86" s="104" t="s">
        <v>155</v>
      </c>
      <c r="T86" s="104" t="s">
        <v>167</v>
      </c>
      <c r="U86" s="104" t="s">
        <v>157</v>
      </c>
      <c r="V86" s="104">
        <v>1500000</v>
      </c>
      <c r="W86" s="104">
        <v>1280</v>
      </c>
      <c r="X86" s="104">
        <v>32</v>
      </c>
      <c r="Y86" s="104" t="s">
        <v>158</v>
      </c>
      <c r="Z86" s="104">
        <v>9.5000000000000001E-2</v>
      </c>
      <c r="AA86" s="105">
        <v>2.7421241007999999</v>
      </c>
      <c r="AB86" s="105">
        <v>20.527804</v>
      </c>
      <c r="AC86" s="105">
        <v>57.0699955102342</v>
      </c>
      <c r="AD86" s="105">
        <v>1.8070177151183201E-2</v>
      </c>
      <c r="AE86" s="105">
        <v>24.894745887925801</v>
      </c>
      <c r="AF86" s="105">
        <v>59.709359650045201</v>
      </c>
      <c r="AG86" s="105">
        <v>2.1100466262276201</v>
      </c>
      <c r="AH86" s="105">
        <v>2.3687999999999998</v>
      </c>
      <c r="AI86" s="105">
        <v>748.95146794487698</v>
      </c>
      <c r="AJ86" s="105">
        <v>-10.616400000000001</v>
      </c>
      <c r="AK86" s="105">
        <v>0.3256</v>
      </c>
      <c r="AL86" s="105">
        <v>274212</v>
      </c>
      <c r="AM86" s="105">
        <v>293.678</v>
      </c>
      <c r="AN86" s="105">
        <v>3.2527499999999998</v>
      </c>
      <c r="AO86" s="105">
        <v>211408</v>
      </c>
      <c r="AP86" s="105">
        <v>295710</v>
      </c>
      <c r="AQ86" s="105">
        <v>287.05500000000001</v>
      </c>
      <c r="AR86" s="105">
        <v>1.39053</v>
      </c>
      <c r="AS86" s="105">
        <v>1022.1</v>
      </c>
      <c r="AT86" s="105">
        <v>342.334</v>
      </c>
      <c r="AU86" s="105">
        <v>6548.9</v>
      </c>
      <c r="AV86" s="105">
        <v>0</v>
      </c>
      <c r="AW86" s="105">
        <v>0</v>
      </c>
      <c r="AX86" s="105">
        <v>1479270</v>
      </c>
      <c r="AY86" s="105">
        <v>537.91999999999996</v>
      </c>
      <c r="AZ86" s="105">
        <v>9.5800599999999996</v>
      </c>
      <c r="BA86" s="105">
        <v>389429</v>
      </c>
      <c r="BB86" s="105">
        <v>543841</v>
      </c>
      <c r="BC86" s="105">
        <v>287.053</v>
      </c>
      <c r="BD86" s="105">
        <v>1.3823000000000001</v>
      </c>
      <c r="BE86" s="105">
        <v>1037.92</v>
      </c>
      <c r="BF86" s="105">
        <v>462.02100000000002</v>
      </c>
      <c r="BG86" s="105">
        <v>6690.43</v>
      </c>
      <c r="BH86" s="105">
        <v>254.29400000000001</v>
      </c>
      <c r="BI86" s="105">
        <v>0.55039489547011899</v>
      </c>
      <c r="BJ86" s="105">
        <v>5445060</v>
      </c>
      <c r="BK86" s="105">
        <v>811.06500000000005</v>
      </c>
      <c r="BL86" s="105">
        <v>23.387899999999998</v>
      </c>
      <c r="BM86" s="105">
        <v>602790</v>
      </c>
      <c r="BN86" s="105">
        <v>835606</v>
      </c>
      <c r="BO86" s="105">
        <v>287.04899999999998</v>
      </c>
      <c r="BP86" s="105">
        <v>1.35259</v>
      </c>
      <c r="BQ86" s="105">
        <v>1101.1600000000001</v>
      </c>
      <c r="BR86" s="105">
        <v>561.15200000000004</v>
      </c>
      <c r="BS86" s="105">
        <v>6754.35</v>
      </c>
      <c r="BT86" s="105">
        <v>0</v>
      </c>
      <c r="BU86" s="105">
        <v>0</v>
      </c>
      <c r="BV86" s="105">
        <v>5970940</v>
      </c>
      <c r="BW86" s="105">
        <v>830.74599999999998</v>
      </c>
      <c r="BX86" s="105">
        <v>25.039100000000001</v>
      </c>
      <c r="BY86" s="105">
        <v>618817</v>
      </c>
      <c r="BZ86" s="105">
        <v>857282</v>
      </c>
      <c r="CA86" s="105">
        <v>287.04899999999998</v>
      </c>
      <c r="CB86" s="105">
        <v>1.3506400000000001</v>
      </c>
      <c r="CC86" s="105">
        <v>1105.68</v>
      </c>
      <c r="CD86" s="105">
        <v>567.495</v>
      </c>
      <c r="CE86" s="105">
        <v>6754.35</v>
      </c>
      <c r="CF86" s="105">
        <v>0</v>
      </c>
      <c r="CG86" s="105">
        <v>0</v>
      </c>
      <c r="CH86" s="105">
        <v>3186210</v>
      </c>
      <c r="CI86" s="105">
        <v>704.23299999999995</v>
      </c>
      <c r="CJ86" s="105">
        <v>15.7616</v>
      </c>
      <c r="CK86" s="105">
        <v>517238</v>
      </c>
      <c r="CL86" s="105">
        <v>719388</v>
      </c>
      <c r="CM86" s="105">
        <v>287.05</v>
      </c>
      <c r="CN86" s="105">
        <v>1.3640000000000001</v>
      </c>
      <c r="CO86" s="105">
        <v>1075.6500000000001</v>
      </c>
      <c r="CP86" s="105">
        <v>525.15499999999997</v>
      </c>
      <c r="CQ86" s="105">
        <v>6754.35</v>
      </c>
      <c r="CR86" s="105">
        <v>525.154</v>
      </c>
      <c r="CS86" s="105">
        <v>0.99999809580028798</v>
      </c>
      <c r="CT86" s="105">
        <v>1515.56</v>
      </c>
      <c r="CU86" s="105">
        <v>84.661100000000005</v>
      </c>
      <c r="CV86" s="105">
        <v>6.2362399999999998E-2</v>
      </c>
      <c r="CW86" s="105">
        <v>60944.4</v>
      </c>
      <c r="CX86" s="105">
        <v>85246.8</v>
      </c>
      <c r="CY86" s="105">
        <v>287.05500000000001</v>
      </c>
      <c r="CZ86" s="105">
        <v>1.39053</v>
      </c>
      <c r="DA86" s="105">
        <v>1022.1</v>
      </c>
      <c r="DB86" s="105">
        <v>183.80500000000001</v>
      </c>
      <c r="DC86" s="105">
        <v>6754.36</v>
      </c>
      <c r="DD86" s="105">
        <v>1242.6099999999999</v>
      </c>
      <c r="DE86" s="105">
        <v>6.7604600000000001</v>
      </c>
      <c r="DF86" s="106">
        <f t="shared" si="44"/>
        <v>13323912.068397036</v>
      </c>
      <c r="DG86" s="106">
        <f t="shared" si="45"/>
        <v>857286.60604999994</v>
      </c>
      <c r="DH86" s="107"/>
      <c r="DJ86" s="104" t="s">
        <v>168</v>
      </c>
      <c r="DK86" s="104">
        <v>1585</v>
      </c>
      <c r="DL86" s="108">
        <f t="shared" si="42"/>
        <v>2073.4</v>
      </c>
      <c r="DM86" s="108">
        <f t="shared" si="43"/>
        <v>5626.6</v>
      </c>
      <c r="DU86" s="2">
        <v>5.9179945199999997</v>
      </c>
      <c r="DV86" s="2">
        <f t="shared" si="32"/>
        <v>0.10863023447862399</v>
      </c>
      <c r="DW86" s="2">
        <f t="shared" si="33"/>
        <v>107.31113004719302</v>
      </c>
      <c r="DX86" s="2">
        <f t="shared" si="34"/>
        <v>206.93681088455381</v>
      </c>
      <c r="DY86" s="2">
        <f t="shared" si="35"/>
        <v>1224.6509128010657</v>
      </c>
      <c r="DZ86" s="19">
        <f t="shared" si="36"/>
        <v>17884105.184395965</v>
      </c>
      <c r="EA86" s="2">
        <v>5.7739619199999996</v>
      </c>
      <c r="EB86" s="2">
        <f t="shared" si="37"/>
        <v>0.115107236996304</v>
      </c>
      <c r="EC86" s="2">
        <f t="shared" si="38"/>
        <v>112.03980721220202</v>
      </c>
      <c r="ED86" s="2">
        <f t="shared" si="39"/>
        <v>211.4470079781002</v>
      </c>
      <c r="EE86" s="2">
        <f t="shared" si="40"/>
        <v>1220.8869721634867</v>
      </c>
      <c r="EF86" s="19">
        <f t="shared" si="41"/>
        <v>18092450.923864875</v>
      </c>
    </row>
    <row r="87" spans="1:136" s="104" customFormat="1">
      <c r="A87" s="103">
        <v>85</v>
      </c>
      <c r="B87" s="104" t="s">
        <v>276</v>
      </c>
      <c r="C87" s="104">
        <v>250418</v>
      </c>
      <c r="D87" s="104" t="s">
        <v>149</v>
      </c>
      <c r="E87" s="104" t="s">
        <v>277</v>
      </c>
      <c r="F87" s="104">
        <v>6.76</v>
      </c>
      <c r="G87" s="104">
        <v>1009.2</v>
      </c>
      <c r="H87" s="104">
        <v>19.3</v>
      </c>
      <c r="I87" s="104">
        <v>61.1</v>
      </c>
      <c r="J87" s="104" t="s">
        <v>151</v>
      </c>
      <c r="K87" s="104">
        <v>190.6</v>
      </c>
      <c r="L87" s="104" t="s">
        <v>278</v>
      </c>
      <c r="M87" s="104" t="s">
        <v>153</v>
      </c>
      <c r="N87" s="104" t="s">
        <v>154</v>
      </c>
      <c r="O87" s="104">
        <v>1.75</v>
      </c>
      <c r="P87" s="104">
        <v>21.1</v>
      </c>
      <c r="Q87" s="104">
        <v>0.77</v>
      </c>
      <c r="R87" s="104">
        <v>2500000</v>
      </c>
      <c r="S87" s="104" t="s">
        <v>155</v>
      </c>
      <c r="T87" s="104" t="s">
        <v>228</v>
      </c>
      <c r="U87" s="104" t="s">
        <v>157</v>
      </c>
      <c r="V87" s="104">
        <v>1500000</v>
      </c>
      <c r="W87" s="104">
        <v>1280</v>
      </c>
      <c r="X87" s="104">
        <v>32</v>
      </c>
      <c r="Y87" s="104" t="s">
        <v>158</v>
      </c>
      <c r="Z87" s="104">
        <v>9.5000000000000001E-2</v>
      </c>
      <c r="AA87" s="105">
        <v>2.7374868380800002</v>
      </c>
      <c r="AB87" s="105">
        <v>21.207916000000001</v>
      </c>
      <c r="AC87" s="105">
        <v>56.0789059980182</v>
      </c>
      <c r="AD87" s="105">
        <v>3.4766721559851797E-2</v>
      </c>
      <c r="AE87" s="105">
        <v>25.3180521601595</v>
      </c>
      <c r="AF87" s="105">
        <v>59.117693061344099</v>
      </c>
      <c r="AG87" s="105">
        <v>1.7818871956520801</v>
      </c>
      <c r="AH87" s="105">
        <v>2.2063999999999999</v>
      </c>
      <c r="AI87" s="105">
        <v>748.95146794487698</v>
      </c>
      <c r="AJ87" s="105">
        <v>-10.5352</v>
      </c>
      <c r="AK87" s="105">
        <v>0.3256</v>
      </c>
      <c r="AL87" s="105">
        <v>273749</v>
      </c>
      <c r="AM87" s="105">
        <v>294.358</v>
      </c>
      <c r="AN87" s="105">
        <v>3.2397399999999998</v>
      </c>
      <c r="AO87" s="105">
        <v>211897</v>
      </c>
      <c r="AP87" s="105">
        <v>296394</v>
      </c>
      <c r="AQ87" s="105">
        <v>287.05500000000001</v>
      </c>
      <c r="AR87" s="105">
        <v>1.39053</v>
      </c>
      <c r="AS87" s="105">
        <v>1022.1</v>
      </c>
      <c r="AT87" s="105">
        <v>342.73</v>
      </c>
      <c r="AU87" s="105">
        <v>6551.77</v>
      </c>
      <c r="AV87" s="105">
        <v>0</v>
      </c>
      <c r="AW87" s="105">
        <v>0</v>
      </c>
      <c r="AX87" s="105">
        <v>1473290</v>
      </c>
      <c r="AY87" s="105">
        <v>538.50699999999995</v>
      </c>
      <c r="AZ87" s="105">
        <v>9.5309100000000004</v>
      </c>
      <c r="BA87" s="105">
        <v>389872</v>
      </c>
      <c r="BB87" s="105">
        <v>544452</v>
      </c>
      <c r="BC87" s="105">
        <v>287.053</v>
      </c>
      <c r="BD87" s="105">
        <v>1.3822300000000001</v>
      </c>
      <c r="BE87" s="105">
        <v>1038.05</v>
      </c>
      <c r="BF87" s="105">
        <v>462.26299999999998</v>
      </c>
      <c r="BG87" s="105">
        <v>6692.72</v>
      </c>
      <c r="BH87" s="105">
        <v>254.583</v>
      </c>
      <c r="BI87" s="105">
        <v>0.55073194263871394</v>
      </c>
      <c r="BJ87" s="105">
        <v>5416070</v>
      </c>
      <c r="BK87" s="105">
        <v>811.49900000000002</v>
      </c>
      <c r="BL87" s="105">
        <v>23.251000000000001</v>
      </c>
      <c r="BM87" s="105">
        <v>603142</v>
      </c>
      <c r="BN87" s="105">
        <v>836081</v>
      </c>
      <c r="BO87" s="105">
        <v>287.04899999999998</v>
      </c>
      <c r="BP87" s="105">
        <v>1.3525400000000001</v>
      </c>
      <c r="BQ87" s="105">
        <v>1101.27</v>
      </c>
      <c r="BR87" s="105">
        <v>561.29200000000003</v>
      </c>
      <c r="BS87" s="105">
        <v>6756.48</v>
      </c>
      <c r="BT87" s="105">
        <v>0</v>
      </c>
      <c r="BU87" s="105">
        <v>0</v>
      </c>
      <c r="BV87" s="105">
        <v>5911770</v>
      </c>
      <c r="BW87" s="105">
        <v>830.19200000000001</v>
      </c>
      <c r="BX87" s="105">
        <v>24.807500000000001</v>
      </c>
      <c r="BY87" s="105">
        <v>618362</v>
      </c>
      <c r="BZ87" s="105">
        <v>856668</v>
      </c>
      <c r="CA87" s="105">
        <v>287.04899999999998</v>
      </c>
      <c r="CB87" s="105">
        <v>1.3506899999999999</v>
      </c>
      <c r="CC87" s="105">
        <v>1105.57</v>
      </c>
      <c r="CD87" s="105">
        <v>567.31600000000003</v>
      </c>
      <c r="CE87" s="105">
        <v>6756.48</v>
      </c>
      <c r="CF87" s="105">
        <v>0</v>
      </c>
      <c r="CG87" s="105">
        <v>0</v>
      </c>
      <c r="CH87" s="105">
        <v>3154590</v>
      </c>
      <c r="CI87" s="105">
        <v>703.74699999999996</v>
      </c>
      <c r="CJ87" s="105">
        <v>15.616</v>
      </c>
      <c r="CK87" s="105">
        <v>516854</v>
      </c>
      <c r="CL87" s="105">
        <v>718864</v>
      </c>
      <c r="CM87" s="105">
        <v>287.05</v>
      </c>
      <c r="CN87" s="105">
        <v>1.36405</v>
      </c>
      <c r="CO87" s="105">
        <v>1075.53</v>
      </c>
      <c r="CP87" s="105">
        <v>524.98400000000004</v>
      </c>
      <c r="CQ87" s="105">
        <v>6756.48</v>
      </c>
      <c r="CR87" s="105">
        <v>524.98299999999995</v>
      </c>
      <c r="CS87" s="105">
        <v>0.99999809518004401</v>
      </c>
      <c r="CT87" s="105">
        <v>1500.52</v>
      </c>
      <c r="CU87" s="105">
        <v>84.600399999999993</v>
      </c>
      <c r="CV87" s="105">
        <v>6.1788000000000003E-2</v>
      </c>
      <c r="CW87" s="105">
        <v>60900.7</v>
      </c>
      <c r="CX87" s="105">
        <v>85185.600000000006</v>
      </c>
      <c r="CY87" s="105">
        <v>287.05500000000001</v>
      </c>
      <c r="CZ87" s="105">
        <v>1.39053</v>
      </c>
      <c r="DA87" s="105">
        <v>1022.1</v>
      </c>
      <c r="DB87" s="105">
        <v>183.739</v>
      </c>
      <c r="DC87" s="105">
        <v>6756.48</v>
      </c>
      <c r="DD87" s="105">
        <v>1242.1600000000001</v>
      </c>
      <c r="DE87" s="105">
        <v>6.7604699999999998</v>
      </c>
      <c r="DF87" s="106">
        <f t="shared" si="44"/>
        <v>13206515.775533937</v>
      </c>
      <c r="DG87" s="106">
        <f t="shared" si="45"/>
        <v>856666.33280000009</v>
      </c>
      <c r="DH87" s="107"/>
      <c r="DJ87" s="104" t="s">
        <v>168</v>
      </c>
      <c r="DK87" s="104">
        <v>1835</v>
      </c>
      <c r="DL87" s="108">
        <f t="shared" si="42"/>
        <v>2323.4</v>
      </c>
      <c r="DM87" s="108">
        <f t="shared" si="43"/>
        <v>5633</v>
      </c>
      <c r="DU87" s="2">
        <v>5.9179945199999997</v>
      </c>
      <c r="DV87" s="2">
        <f t="shared" si="32"/>
        <v>0.10762967634288</v>
      </c>
      <c r="DW87" s="2">
        <f t="shared" si="33"/>
        <v>107.234190513052</v>
      </c>
      <c r="DX87" s="2">
        <f t="shared" si="34"/>
        <v>206.86250480192069</v>
      </c>
      <c r="DY87" s="2">
        <f t="shared" si="35"/>
        <v>1224.2111698112403</v>
      </c>
      <c r="DZ87" s="19">
        <f t="shared" si="36"/>
        <v>17725835.315573029</v>
      </c>
      <c r="EA87" s="2">
        <v>5.7739619199999996</v>
      </c>
      <c r="EB87" s="2">
        <f t="shared" si="37"/>
        <v>0.11404702127448001</v>
      </c>
      <c r="EC87" s="2">
        <f t="shared" si="38"/>
        <v>111.959477328728</v>
      </c>
      <c r="ED87" s="2">
        <f t="shared" si="39"/>
        <v>211.37108239105658</v>
      </c>
      <c r="EE87" s="2">
        <f t="shared" si="40"/>
        <v>1220.4485807151432</v>
      </c>
      <c r="EF87" s="19">
        <f t="shared" si="41"/>
        <v>17932198.603844751</v>
      </c>
    </row>
    <row r="88" spans="1:136" s="104" customFormat="1">
      <c r="A88" s="103">
        <v>86</v>
      </c>
      <c r="B88" s="104" t="s">
        <v>276</v>
      </c>
      <c r="C88" s="104">
        <v>250418</v>
      </c>
      <c r="D88" s="104" t="s">
        <v>149</v>
      </c>
      <c r="E88" s="104" t="s">
        <v>275</v>
      </c>
      <c r="F88" s="104">
        <v>6.76</v>
      </c>
      <c r="G88" s="104">
        <v>1009.5</v>
      </c>
      <c r="H88" s="104">
        <v>19.7</v>
      </c>
      <c r="I88" s="104">
        <v>60.4</v>
      </c>
      <c r="J88" s="104" t="s">
        <v>151</v>
      </c>
      <c r="K88" s="104">
        <v>170.2</v>
      </c>
      <c r="L88" s="104" t="s">
        <v>260</v>
      </c>
      <c r="M88" s="104" t="s">
        <v>153</v>
      </c>
      <c r="N88" s="104" t="s">
        <v>154</v>
      </c>
      <c r="O88" s="104">
        <v>1.1200000000000001</v>
      </c>
      <c r="P88" s="104">
        <v>20.8</v>
      </c>
      <c r="Q88" s="104">
        <v>0.77</v>
      </c>
      <c r="R88" s="104">
        <v>2500000</v>
      </c>
      <c r="S88" s="104" t="s">
        <v>155</v>
      </c>
      <c r="T88" s="104" t="s">
        <v>228</v>
      </c>
      <c r="U88" s="104" t="s">
        <v>157</v>
      </c>
      <c r="V88" s="104">
        <v>1500000</v>
      </c>
      <c r="W88" s="104">
        <v>1280</v>
      </c>
      <c r="X88" s="104">
        <v>32</v>
      </c>
      <c r="Y88" s="104" t="s">
        <v>158</v>
      </c>
      <c r="Z88" s="104">
        <v>9.5000000000000001E-2</v>
      </c>
      <c r="AA88" s="105">
        <v>2.1179239004800001</v>
      </c>
      <c r="AB88" s="105">
        <v>20.837692000000001</v>
      </c>
      <c r="AC88" s="105">
        <v>42.819450159703003</v>
      </c>
      <c r="AD88" s="105">
        <v>3.6753837676846902E-2</v>
      </c>
      <c r="AE88" s="105">
        <v>26.074241626808998</v>
      </c>
      <c r="AF88" s="105">
        <v>44.596138955816201</v>
      </c>
      <c r="AG88" s="105">
        <v>1.34022192808229</v>
      </c>
      <c r="AH88" s="105">
        <v>2.4668000000000001</v>
      </c>
      <c r="AI88" s="105">
        <v>744.04761904761904</v>
      </c>
      <c r="AJ88" s="105">
        <v>-10.464</v>
      </c>
      <c r="AK88" s="105">
        <v>0.34160000000000001</v>
      </c>
      <c r="AL88" s="105">
        <v>211792</v>
      </c>
      <c r="AM88" s="105">
        <v>293.988</v>
      </c>
      <c r="AN88" s="105">
        <v>2.5097</v>
      </c>
      <c r="AO88" s="105">
        <v>211631</v>
      </c>
      <c r="AP88" s="105">
        <v>296020</v>
      </c>
      <c r="AQ88" s="105">
        <v>287.05099999999999</v>
      </c>
      <c r="AR88" s="105">
        <v>1.39052</v>
      </c>
      <c r="AS88" s="105">
        <v>1022.09</v>
      </c>
      <c r="AT88" s="105">
        <v>342.51499999999999</v>
      </c>
      <c r="AU88" s="105">
        <v>6623.94</v>
      </c>
      <c r="AV88" s="105">
        <v>0</v>
      </c>
      <c r="AW88" s="105">
        <v>0</v>
      </c>
      <c r="AX88" s="105">
        <v>1125850</v>
      </c>
      <c r="AY88" s="105">
        <v>534.63699999999994</v>
      </c>
      <c r="AZ88" s="105">
        <v>7.3357700000000001</v>
      </c>
      <c r="BA88" s="105">
        <v>386952</v>
      </c>
      <c r="BB88" s="105">
        <v>540425</v>
      </c>
      <c r="BC88" s="105">
        <v>287.06099999999998</v>
      </c>
      <c r="BD88" s="105">
        <v>1.3826799999999999</v>
      </c>
      <c r="BE88" s="105">
        <v>1037.19</v>
      </c>
      <c r="BF88" s="105">
        <v>460.66899999999998</v>
      </c>
      <c r="BG88" s="105">
        <v>6762.48</v>
      </c>
      <c r="BH88" s="105">
        <v>254.553</v>
      </c>
      <c r="BI88" s="105">
        <v>0.55257245440869696</v>
      </c>
      <c r="BJ88" s="105">
        <v>4110250</v>
      </c>
      <c r="BK88" s="105">
        <v>803.76599999999996</v>
      </c>
      <c r="BL88" s="105">
        <v>17.814800000000002</v>
      </c>
      <c r="BM88" s="105">
        <v>596880</v>
      </c>
      <c r="BN88" s="105">
        <v>827602</v>
      </c>
      <c r="BO88" s="105">
        <v>287.05</v>
      </c>
      <c r="BP88" s="105">
        <v>1.3533599999999999</v>
      </c>
      <c r="BQ88" s="105">
        <v>1099.4000000000001</v>
      </c>
      <c r="BR88" s="105">
        <v>558.78899999999999</v>
      </c>
      <c r="BS88" s="105">
        <v>6825.08</v>
      </c>
      <c r="BT88" s="105">
        <v>0</v>
      </c>
      <c r="BU88" s="105">
        <v>0</v>
      </c>
      <c r="BV88" s="105">
        <v>4459610</v>
      </c>
      <c r="BW88" s="105">
        <v>820.99800000000005</v>
      </c>
      <c r="BX88" s="105">
        <v>18.923400000000001</v>
      </c>
      <c r="BY88" s="105">
        <v>610848</v>
      </c>
      <c r="BZ88" s="105">
        <v>846515</v>
      </c>
      <c r="CA88" s="105">
        <v>287.05</v>
      </c>
      <c r="CB88" s="105">
        <v>1.35155</v>
      </c>
      <c r="CC88" s="105">
        <v>1103.57</v>
      </c>
      <c r="CD88" s="105">
        <v>564.34699999999998</v>
      </c>
      <c r="CE88" s="105">
        <v>6825.08</v>
      </c>
      <c r="CF88" s="105">
        <v>0</v>
      </c>
      <c r="CG88" s="105">
        <v>0</v>
      </c>
      <c r="CH88" s="105">
        <v>2379750</v>
      </c>
      <c r="CI88" s="105">
        <v>695.70500000000004</v>
      </c>
      <c r="CJ88" s="105">
        <v>11.916399999999999</v>
      </c>
      <c r="CK88" s="105">
        <v>510495</v>
      </c>
      <c r="CL88" s="105">
        <v>710199</v>
      </c>
      <c r="CM88" s="105">
        <v>287.053</v>
      </c>
      <c r="CN88" s="105">
        <v>1.36493</v>
      </c>
      <c r="CO88" s="105">
        <v>1073.6400000000001</v>
      </c>
      <c r="CP88" s="105">
        <v>522.14200000000005</v>
      </c>
      <c r="CQ88" s="105">
        <v>6825.08</v>
      </c>
      <c r="CR88" s="105">
        <v>522.14099999999996</v>
      </c>
      <c r="CS88" s="105">
        <v>0.999998084812177</v>
      </c>
      <c r="CT88" s="105">
        <v>1133.0999999999999</v>
      </c>
      <c r="CU88" s="105">
        <v>83.617599999999996</v>
      </c>
      <c r="CV88" s="105">
        <v>4.7208699999999999E-2</v>
      </c>
      <c r="CW88" s="105">
        <v>60193.2</v>
      </c>
      <c r="CX88" s="105">
        <v>84195.3</v>
      </c>
      <c r="CY88" s="105">
        <v>287.04500000000002</v>
      </c>
      <c r="CZ88" s="105">
        <v>1.3905099999999999</v>
      </c>
      <c r="DA88" s="105">
        <v>1022.09</v>
      </c>
      <c r="DB88" s="105">
        <v>182.66900000000001</v>
      </c>
      <c r="DC88" s="105">
        <v>6825.08</v>
      </c>
      <c r="DD88" s="105">
        <v>1234.76</v>
      </c>
      <c r="DE88" s="105">
        <v>6.7595700000000001</v>
      </c>
      <c r="DF88" s="106">
        <f t="shared" si="44"/>
        <v>10156302.352276647</v>
      </c>
      <c r="DG88" s="106">
        <f t="shared" si="45"/>
        <v>846511.42879999999</v>
      </c>
      <c r="DH88" s="107"/>
      <c r="DJ88" s="104" t="s">
        <v>168</v>
      </c>
      <c r="DK88" s="104">
        <v>2402</v>
      </c>
      <c r="DL88" s="108">
        <f t="shared" si="42"/>
        <v>2914.4</v>
      </c>
      <c r="DM88" s="108">
        <f t="shared" si="43"/>
        <v>6614.6</v>
      </c>
      <c r="DU88" s="2">
        <v>5.9179945199999997</v>
      </c>
      <c r="DV88" s="2">
        <f t="shared" si="32"/>
        <v>8.2233720165211993E-2</v>
      </c>
      <c r="DW88" s="2">
        <f t="shared" si="33"/>
        <v>105.988454530288</v>
      </c>
      <c r="DX88" s="2">
        <f t="shared" si="34"/>
        <v>205.65784558347468</v>
      </c>
      <c r="DY88" s="2">
        <f t="shared" si="35"/>
        <v>1217.0820031580092</v>
      </c>
      <c r="DZ88" s="19">
        <f t="shared" si="36"/>
        <v>13624294.677317731</v>
      </c>
      <c r="EA88" s="2">
        <v>5.7739619199999996</v>
      </c>
      <c r="EB88" s="2">
        <f t="shared" si="37"/>
        <v>8.7136848793301996E-2</v>
      </c>
      <c r="EC88" s="2">
        <f t="shared" si="38"/>
        <v>110.65884784803201</v>
      </c>
      <c r="ED88" s="2">
        <f t="shared" si="39"/>
        <v>210.14016757080375</v>
      </c>
      <c r="EE88" s="2">
        <f t="shared" si="40"/>
        <v>1213.3413254162397</v>
      </c>
      <c r="EF88" s="19">
        <f t="shared" si="41"/>
        <v>13781172.144687805</v>
      </c>
    </row>
    <row r="89" spans="1:136" s="104" customFormat="1">
      <c r="A89" s="103">
        <v>87</v>
      </c>
      <c r="B89" s="104" t="s">
        <v>247</v>
      </c>
      <c r="C89" s="104">
        <v>250430</v>
      </c>
      <c r="D89" s="104" t="s">
        <v>149</v>
      </c>
      <c r="E89" s="104" t="s">
        <v>275</v>
      </c>
      <c r="F89" s="104">
        <v>6.76</v>
      </c>
      <c r="G89" s="104">
        <v>1013</v>
      </c>
      <c r="H89" s="104">
        <v>20.100000000000001</v>
      </c>
      <c r="I89" s="104">
        <v>33.299999999999997</v>
      </c>
      <c r="J89" s="104" t="s">
        <v>151</v>
      </c>
      <c r="K89" s="104">
        <v>216.5</v>
      </c>
      <c r="L89" s="104" t="s">
        <v>260</v>
      </c>
      <c r="M89" s="104" t="s">
        <v>153</v>
      </c>
      <c r="N89" s="104" t="s">
        <v>154</v>
      </c>
      <c r="O89" s="104">
        <v>1.1200000000000001</v>
      </c>
      <c r="P89" s="104">
        <v>22.4</v>
      </c>
      <c r="Q89" s="104">
        <v>0.75</v>
      </c>
      <c r="R89" s="104">
        <v>2500000</v>
      </c>
      <c r="S89" s="104" t="s">
        <v>155</v>
      </c>
      <c r="T89" s="104" t="s">
        <v>228</v>
      </c>
      <c r="U89" s="104" t="s">
        <v>157</v>
      </c>
      <c r="V89" s="104">
        <v>1500000</v>
      </c>
      <c r="W89" s="104">
        <v>1280</v>
      </c>
      <c r="X89" s="104">
        <v>32</v>
      </c>
      <c r="Y89" s="104" t="s">
        <v>158</v>
      </c>
      <c r="Z89" s="104">
        <v>9.5000000000000001E-2</v>
      </c>
      <c r="AA89" s="105">
        <v>2.1188126358399999</v>
      </c>
      <c r="AB89" s="105">
        <v>22.765239999999999</v>
      </c>
      <c r="AC89" s="105">
        <v>44.135067716041704</v>
      </c>
      <c r="AD89" s="105">
        <v>1.8785251891367701E-2</v>
      </c>
      <c r="AE89" s="105">
        <v>26.983009134655301</v>
      </c>
      <c r="AF89" s="105">
        <v>47.098055944221997</v>
      </c>
      <c r="AG89" s="105">
        <v>1.98073930698064</v>
      </c>
      <c r="AH89" s="105">
        <v>2.2964000000000002</v>
      </c>
      <c r="AI89" s="105">
        <v>761.26674786845297</v>
      </c>
      <c r="AJ89" s="105">
        <v>-10.422800000000001</v>
      </c>
      <c r="AK89" s="105">
        <v>0.35680000000000001</v>
      </c>
      <c r="AL89" s="104">
        <v>211881</v>
      </c>
      <c r="AM89" s="104">
        <v>295.91500000000002</v>
      </c>
      <c r="AN89" s="104">
        <v>2.4944000000000002</v>
      </c>
      <c r="AO89" s="104">
        <v>213018</v>
      </c>
      <c r="AP89" s="104">
        <v>297961</v>
      </c>
      <c r="AQ89" s="104">
        <v>287.05099999999999</v>
      </c>
      <c r="AR89" s="104">
        <v>1.39052</v>
      </c>
      <c r="AS89" s="104">
        <v>1022.09</v>
      </c>
      <c r="AT89" s="104">
        <v>343.63600000000002</v>
      </c>
      <c r="AU89" s="104">
        <v>6630.58</v>
      </c>
      <c r="AV89" s="104">
        <v>0</v>
      </c>
      <c r="AW89" s="104">
        <v>0</v>
      </c>
      <c r="AX89" s="104">
        <v>1173260</v>
      </c>
      <c r="AY89" s="104">
        <v>548.82600000000002</v>
      </c>
      <c r="AZ89" s="104">
        <v>7.4470700000000001</v>
      </c>
      <c r="BA89" s="104">
        <v>397669</v>
      </c>
      <c r="BB89" s="104">
        <v>555216</v>
      </c>
      <c r="BC89" s="104">
        <v>287.06099999999998</v>
      </c>
      <c r="BD89" s="104">
        <v>1.3810800000000001</v>
      </c>
      <c r="BE89" s="104">
        <v>1040.3499999999999</v>
      </c>
      <c r="BF89" s="104">
        <v>466.48200000000003</v>
      </c>
      <c r="BG89" s="104">
        <v>6777.83</v>
      </c>
      <c r="BH89" s="104">
        <v>254.98699999999999</v>
      </c>
      <c r="BI89" s="104">
        <v>0.54661701844872901</v>
      </c>
      <c r="BJ89" s="104">
        <v>4381450</v>
      </c>
      <c r="BK89" s="104">
        <v>831.38300000000004</v>
      </c>
      <c r="BL89" s="104">
        <v>18.359500000000001</v>
      </c>
      <c r="BM89" s="104">
        <v>619339</v>
      </c>
      <c r="BN89" s="104">
        <v>857987</v>
      </c>
      <c r="BO89" s="104">
        <v>287.05</v>
      </c>
      <c r="BP89" s="104">
        <v>1.35059</v>
      </c>
      <c r="BQ89" s="104">
        <v>1105.82</v>
      </c>
      <c r="BR89" s="104">
        <v>567.70100000000002</v>
      </c>
      <c r="BS89" s="104">
        <v>6844.03</v>
      </c>
      <c r="BT89" s="104">
        <v>0</v>
      </c>
      <c r="BU89" s="104">
        <v>0</v>
      </c>
      <c r="BV89" s="104">
        <v>4709810</v>
      </c>
      <c r="BW89" s="104">
        <v>847.11800000000005</v>
      </c>
      <c r="BX89" s="104">
        <v>19.3688</v>
      </c>
      <c r="BY89" s="104">
        <v>632269</v>
      </c>
      <c r="BZ89" s="104">
        <v>875434</v>
      </c>
      <c r="CA89" s="104">
        <v>287.04899999999998</v>
      </c>
      <c r="CB89" s="104">
        <v>1.3491899999999999</v>
      </c>
      <c r="CC89" s="104">
        <v>1109.0899999999999</v>
      </c>
      <c r="CD89" s="104">
        <v>572.75400000000002</v>
      </c>
      <c r="CE89" s="104">
        <v>6844.03</v>
      </c>
      <c r="CF89" s="104">
        <v>0</v>
      </c>
      <c r="CG89" s="104">
        <v>0</v>
      </c>
      <c r="CH89" s="104">
        <v>2515070</v>
      </c>
      <c r="CI89" s="104">
        <v>718.59</v>
      </c>
      <c r="CJ89" s="104">
        <v>12.1929</v>
      </c>
      <c r="CK89" s="104">
        <v>528618</v>
      </c>
      <c r="CL89" s="104">
        <v>734890</v>
      </c>
      <c r="CM89" s="104">
        <v>287.05200000000002</v>
      </c>
      <c r="CN89" s="104">
        <v>1.3624400000000001</v>
      </c>
      <c r="CO89" s="104">
        <v>1079.04</v>
      </c>
      <c r="CP89" s="104">
        <v>530.17700000000002</v>
      </c>
      <c r="CQ89" s="104">
        <v>6844.03</v>
      </c>
      <c r="CR89" s="104">
        <v>530.17700000000002</v>
      </c>
      <c r="CS89" s="104">
        <v>1</v>
      </c>
      <c r="CT89" s="104">
        <v>1197.18</v>
      </c>
      <c r="CU89" s="104">
        <v>86.474100000000007</v>
      </c>
      <c r="CV89" s="104">
        <v>4.8230599999999998E-2</v>
      </c>
      <c r="CW89" s="104">
        <v>62249.5</v>
      </c>
      <c r="CX89" s="104">
        <v>87071.6</v>
      </c>
      <c r="CY89" s="104">
        <v>287.04599999999999</v>
      </c>
      <c r="CZ89" s="104">
        <v>1.39052</v>
      </c>
      <c r="DA89" s="104">
        <v>1022.09</v>
      </c>
      <c r="DB89" s="104">
        <v>185.76300000000001</v>
      </c>
      <c r="DC89" s="104">
        <v>6844.03</v>
      </c>
      <c r="DD89" s="104">
        <v>1255.68</v>
      </c>
      <c r="DE89" s="104">
        <v>6.7595799999999997</v>
      </c>
      <c r="DF89" s="106">
        <f t="shared" si="44"/>
        <v>10180712.459113304</v>
      </c>
      <c r="DG89" s="106">
        <f t="shared" si="45"/>
        <v>875437.73120000004</v>
      </c>
      <c r="DH89" s="107"/>
      <c r="DJ89" s="104" t="s">
        <v>168</v>
      </c>
      <c r="DK89" s="104">
        <v>1400</v>
      </c>
      <c r="DL89" s="108">
        <f t="shared" si="42"/>
        <v>1935.2</v>
      </c>
      <c r="DM89" s="108">
        <f t="shared" si="43"/>
        <v>5379.8</v>
      </c>
      <c r="DU89" s="2">
        <v>5.9179945199999997</v>
      </c>
      <c r="DV89" s="2">
        <f t="shared" si="32"/>
        <v>8.4013786946055991E-2</v>
      </c>
      <c r="DW89" s="2">
        <f t="shared" si="33"/>
        <v>109.60917577038302</v>
      </c>
      <c r="DX89" s="2">
        <f t="shared" si="34"/>
        <v>209.14122466933637</v>
      </c>
      <c r="DY89" s="2">
        <f t="shared" si="35"/>
        <v>1237.6966214992215</v>
      </c>
      <c r="DZ89" s="19">
        <f t="shared" si="36"/>
        <v>13684011.588274835</v>
      </c>
      <c r="EA89" s="2">
        <v>5.7739619199999996</v>
      </c>
      <c r="EB89" s="2">
        <f t="shared" si="37"/>
        <v>8.9023050823475988E-2</v>
      </c>
      <c r="EC89" s="2">
        <f t="shared" si="38"/>
        <v>114.43911658186202</v>
      </c>
      <c r="ED89" s="2">
        <f t="shared" si="39"/>
        <v>213.6994670603946</v>
      </c>
      <c r="EE89" s="2">
        <f t="shared" si="40"/>
        <v>1233.8925851310128</v>
      </c>
      <c r="EF89" s="19">
        <f t="shared" si="41"/>
        <v>13846589.578055009</v>
      </c>
    </row>
    <row r="90" spans="1:136" s="113" customFormat="1">
      <c r="A90" s="112">
        <v>88</v>
      </c>
      <c r="B90" s="113" t="s">
        <v>247</v>
      </c>
      <c r="C90" s="113">
        <v>250430</v>
      </c>
      <c r="D90" s="113" t="s">
        <v>149</v>
      </c>
      <c r="E90" s="113" t="s">
        <v>121</v>
      </c>
      <c r="F90" s="113">
        <v>6.76</v>
      </c>
      <c r="G90" s="113">
        <v>1012.6</v>
      </c>
      <c r="H90" s="113">
        <v>20.7</v>
      </c>
      <c r="I90" s="113">
        <v>32.299999999999997</v>
      </c>
      <c r="J90" s="113" t="s">
        <v>151</v>
      </c>
      <c r="K90" s="113">
        <v>216</v>
      </c>
      <c r="L90" s="113" t="s">
        <v>279</v>
      </c>
      <c r="M90" s="113" t="s">
        <v>153</v>
      </c>
      <c r="N90" s="113" t="s">
        <v>154</v>
      </c>
      <c r="O90" s="113">
        <v>0.48</v>
      </c>
      <c r="P90" s="113">
        <v>21.8</v>
      </c>
      <c r="Q90" s="113">
        <v>0.75</v>
      </c>
      <c r="R90" s="113">
        <v>2500000</v>
      </c>
      <c r="S90" s="113" t="s">
        <v>155</v>
      </c>
      <c r="T90" s="113" t="s">
        <v>228</v>
      </c>
      <c r="U90" s="113" t="s">
        <v>157</v>
      </c>
      <c r="V90" s="113">
        <v>1500000</v>
      </c>
      <c r="W90" s="113">
        <v>1280</v>
      </c>
      <c r="X90" s="113">
        <v>32</v>
      </c>
      <c r="Y90" s="113" t="s">
        <v>158</v>
      </c>
      <c r="Z90" s="113">
        <v>9.5000000000000001E-2</v>
      </c>
      <c r="AA90" s="113">
        <v>1.497621817</v>
      </c>
      <c r="AB90" s="113">
        <v>21.914476000000001</v>
      </c>
      <c r="AC90" s="113">
        <v>25.109015190000001</v>
      </c>
      <c r="AD90" s="113">
        <v>4.8745745E-2</v>
      </c>
      <c r="AE90" s="113">
        <v>25.770298879999999</v>
      </c>
      <c r="AF90" s="113">
        <v>26.940066529999999</v>
      </c>
      <c r="AG90" s="113">
        <v>0.81016475899999996</v>
      </c>
      <c r="AH90" s="113">
        <v>2.4472</v>
      </c>
      <c r="AI90" s="113">
        <v>708.61677999999995</v>
      </c>
      <c r="AJ90" s="113">
        <v>-10.6556</v>
      </c>
      <c r="AK90" s="113">
        <v>0.35720000000000002</v>
      </c>
      <c r="AL90" s="113">
        <v>149762</v>
      </c>
      <c r="AM90" s="113">
        <v>295.06400000000002</v>
      </c>
      <c r="AN90" s="113">
        <v>1.7681800000000001</v>
      </c>
      <c r="AO90" s="113">
        <v>212406</v>
      </c>
      <c r="AP90" s="113">
        <v>297105</v>
      </c>
      <c r="AQ90" s="113">
        <v>287.05200000000002</v>
      </c>
      <c r="AR90" s="113">
        <v>1.39052</v>
      </c>
      <c r="AS90" s="113">
        <v>1022.1</v>
      </c>
      <c r="AT90" s="113">
        <v>343.14100000000002</v>
      </c>
      <c r="AU90" s="113">
        <v>6727.45</v>
      </c>
      <c r="AV90" s="113">
        <v>0</v>
      </c>
      <c r="AW90" s="113">
        <v>0</v>
      </c>
      <c r="AX90" s="113">
        <v>716558</v>
      </c>
      <c r="AY90" s="113">
        <v>510.52300000000002</v>
      </c>
      <c r="AZ90" s="113">
        <v>4.8895900000000001</v>
      </c>
      <c r="BA90" s="113">
        <v>368794</v>
      </c>
      <c r="BB90" s="113">
        <v>515341</v>
      </c>
      <c r="BC90" s="113">
        <v>287.05399999999997</v>
      </c>
      <c r="BD90" s="113">
        <v>1.3854200000000001</v>
      </c>
      <c r="BE90" s="113">
        <v>1031.8399999999999</v>
      </c>
      <c r="BF90" s="113">
        <v>450.58600000000001</v>
      </c>
      <c r="BG90" s="113">
        <v>6844.41</v>
      </c>
      <c r="BH90" s="113">
        <v>256.25099999999998</v>
      </c>
      <c r="BI90" s="113">
        <v>0.56870608496491204</v>
      </c>
      <c r="BJ90" s="113">
        <v>2462910</v>
      </c>
      <c r="BK90" s="113">
        <v>751.33699999999999</v>
      </c>
      <c r="BL90" s="113">
        <v>11.419700000000001</v>
      </c>
      <c r="BM90" s="113">
        <v>554710</v>
      </c>
      <c r="BN90" s="113">
        <v>770382</v>
      </c>
      <c r="BO90" s="113">
        <v>287.05099999999999</v>
      </c>
      <c r="BP90" s="113">
        <v>1.3589199999999999</v>
      </c>
      <c r="BQ90" s="113">
        <v>1086.83</v>
      </c>
      <c r="BR90" s="113">
        <v>541.41099999999994</v>
      </c>
      <c r="BS90" s="113">
        <v>6898.32</v>
      </c>
      <c r="BT90" s="113">
        <v>0</v>
      </c>
      <c r="BU90" s="113">
        <v>0</v>
      </c>
      <c r="BV90" s="113">
        <v>2694010</v>
      </c>
      <c r="BW90" s="113">
        <v>769.30799999999999</v>
      </c>
      <c r="BX90" s="113">
        <v>12.199400000000001</v>
      </c>
      <c r="BY90" s="113">
        <v>569110</v>
      </c>
      <c r="BZ90" s="113">
        <v>789940</v>
      </c>
      <c r="CA90" s="113">
        <v>287.05</v>
      </c>
      <c r="CB90" s="113">
        <v>1.357</v>
      </c>
      <c r="CC90" s="113">
        <v>1091.1199999999999</v>
      </c>
      <c r="CD90" s="113">
        <v>547.45000000000005</v>
      </c>
      <c r="CE90" s="113">
        <v>6898.32</v>
      </c>
      <c r="CF90" s="113">
        <v>0</v>
      </c>
      <c r="CG90" s="113">
        <v>0</v>
      </c>
      <c r="CH90" s="113">
        <v>1436740</v>
      </c>
      <c r="CI90" s="113">
        <v>650.59299999999996</v>
      </c>
      <c r="CJ90" s="113">
        <v>7.6931200000000004</v>
      </c>
      <c r="CK90" s="113">
        <v>475249</v>
      </c>
      <c r="CL90" s="113">
        <v>662005</v>
      </c>
      <c r="CM90" s="113">
        <v>287.05500000000001</v>
      </c>
      <c r="CN90" s="113">
        <v>1.3698600000000001</v>
      </c>
      <c r="CO90" s="113">
        <v>1063.17</v>
      </c>
      <c r="CP90" s="113">
        <v>505.83600000000001</v>
      </c>
      <c r="CQ90" s="113">
        <v>6898.32</v>
      </c>
      <c r="CR90" s="113">
        <v>505.83600000000001</v>
      </c>
      <c r="CS90" s="113">
        <v>1</v>
      </c>
      <c r="CT90" s="113">
        <v>690.66399999999999</v>
      </c>
      <c r="CU90" s="113">
        <v>78.020899999999997</v>
      </c>
      <c r="CV90" s="113">
        <v>3.0842399999999999E-2</v>
      </c>
      <c r="CW90" s="113">
        <v>56164.4</v>
      </c>
      <c r="CX90" s="113">
        <v>78557.7</v>
      </c>
      <c r="CY90" s="113">
        <v>287.017</v>
      </c>
      <c r="CZ90" s="113">
        <v>1.3904799999999999</v>
      </c>
      <c r="DA90" s="113">
        <v>1022.06</v>
      </c>
      <c r="DB90" s="113">
        <v>176.44900000000001</v>
      </c>
      <c r="DC90" s="113">
        <v>6898.32</v>
      </c>
      <c r="DD90" s="113">
        <v>1192.8</v>
      </c>
      <c r="DE90" s="113">
        <v>6.76</v>
      </c>
      <c r="DF90" s="114">
        <f t="shared" si="44"/>
        <v>6907241.6722376365</v>
      </c>
      <c r="DG90" s="114">
        <f t="shared" si="45"/>
        <v>789943.61999999988</v>
      </c>
      <c r="DH90" s="115"/>
      <c r="DJ90" s="113" t="s">
        <v>168</v>
      </c>
      <c r="DK90" s="113">
        <v>1206</v>
      </c>
      <c r="DL90" s="116">
        <f t="shared" si="42"/>
        <v>1741.8000000000002</v>
      </c>
      <c r="DM90" s="116">
        <f t="shared" si="43"/>
        <v>5412.6</v>
      </c>
      <c r="DU90" s="2">
        <v>5.9179945199999997</v>
      </c>
      <c r="DV90" s="2">
        <f t="shared" si="32"/>
        <v>5.3724955163423994E-2</v>
      </c>
      <c r="DW90" s="2">
        <f t="shared" si="33"/>
        <v>98.894426676467006</v>
      </c>
      <c r="DX90" s="2">
        <f t="shared" si="34"/>
        <v>198.65506022017158</v>
      </c>
      <c r="DY90" s="2">
        <f t="shared" si="35"/>
        <v>1175.6395577532453</v>
      </c>
      <c r="DZ90" s="19">
        <f t="shared" si="36"/>
        <v>9227602.8916156255</v>
      </c>
      <c r="EA90" s="2">
        <v>5.7739619199999996</v>
      </c>
      <c r="EB90" s="2">
        <f t="shared" si="37"/>
        <v>5.6928268417103994E-2</v>
      </c>
      <c r="EC90" s="2">
        <f t="shared" si="38"/>
        <v>103.25222084903801</v>
      </c>
      <c r="ED90" s="2">
        <f t="shared" si="39"/>
        <v>202.98475618578277</v>
      </c>
      <c r="EE90" s="2">
        <f t="shared" si="40"/>
        <v>1172.0262525571941</v>
      </c>
      <c r="EF90" s="19">
        <f t="shared" si="41"/>
        <v>9326893.2543143164</v>
      </c>
    </row>
    <row r="91" spans="1:136" s="104" customFormat="1">
      <c r="A91" s="103">
        <v>89</v>
      </c>
      <c r="B91" s="104" t="s">
        <v>247</v>
      </c>
      <c r="C91" s="104">
        <v>250430</v>
      </c>
      <c r="D91" s="104" t="s">
        <v>149</v>
      </c>
      <c r="E91" s="104" t="s">
        <v>121</v>
      </c>
      <c r="F91" s="104">
        <v>6.76</v>
      </c>
      <c r="G91" s="104">
        <v>1012.4</v>
      </c>
      <c r="H91" s="104">
        <v>20.9</v>
      </c>
      <c r="I91" s="104">
        <v>32.299999999999997</v>
      </c>
      <c r="J91" s="104" t="s">
        <v>151</v>
      </c>
      <c r="K91" s="104">
        <v>220.6</v>
      </c>
      <c r="L91" s="104" t="s">
        <v>279</v>
      </c>
      <c r="M91" s="104" t="s">
        <v>153</v>
      </c>
      <c r="N91" s="104" t="s">
        <v>154</v>
      </c>
      <c r="O91" s="104">
        <v>0.48</v>
      </c>
      <c r="P91" s="104">
        <v>22.2</v>
      </c>
      <c r="Q91" s="104">
        <v>0.73</v>
      </c>
      <c r="R91" s="104">
        <v>2500000</v>
      </c>
      <c r="S91" s="104" t="s">
        <v>155</v>
      </c>
      <c r="T91" s="104" t="s">
        <v>280</v>
      </c>
      <c r="U91" s="104" t="s">
        <v>157</v>
      </c>
      <c r="V91" s="104">
        <v>1500000</v>
      </c>
      <c r="W91" s="104">
        <v>1280</v>
      </c>
      <c r="X91" s="104">
        <v>32</v>
      </c>
      <c r="Y91" s="104" t="s">
        <v>158</v>
      </c>
      <c r="Z91" s="104">
        <v>9.5000000000000001E-2</v>
      </c>
      <c r="AA91" s="104">
        <v>1.500525605</v>
      </c>
      <c r="AB91" s="109">
        <v>22.431484000000001</v>
      </c>
      <c r="AC91" s="104">
        <v>26.53069709</v>
      </c>
      <c r="AD91" s="104">
        <v>3.8108600999999999E-2</v>
      </c>
      <c r="AE91" s="104">
        <v>26.364197489999999</v>
      </c>
      <c r="AF91" s="104">
        <v>28.23095081</v>
      </c>
      <c r="AG91" s="104">
        <v>0.87028511600000003</v>
      </c>
      <c r="AH91" s="104">
        <v>2.6107999999999998</v>
      </c>
      <c r="AI91" s="104">
        <v>721.70900689999996</v>
      </c>
      <c r="AJ91" s="104">
        <v>-10.530799999999999</v>
      </c>
      <c r="AK91" s="104">
        <v>0.35320000000000001</v>
      </c>
      <c r="AL91" s="104">
        <v>150053</v>
      </c>
      <c r="AM91" s="104">
        <v>295.58100000000002</v>
      </c>
      <c r="AN91" s="104">
        <v>1.7685</v>
      </c>
      <c r="AO91" s="104">
        <v>212778</v>
      </c>
      <c r="AP91" s="104">
        <v>297625</v>
      </c>
      <c r="AQ91" s="104">
        <v>287.05200000000002</v>
      </c>
      <c r="AR91" s="104">
        <v>1.39052</v>
      </c>
      <c r="AS91" s="104">
        <v>1022.1</v>
      </c>
      <c r="AT91" s="104">
        <v>343.44099999999997</v>
      </c>
      <c r="AU91" s="104">
        <v>6728.71</v>
      </c>
      <c r="AV91" s="104">
        <v>0</v>
      </c>
      <c r="AW91" s="104">
        <v>0</v>
      </c>
      <c r="AX91" s="104">
        <v>744530</v>
      </c>
      <c r="AY91" s="104">
        <v>520.11</v>
      </c>
      <c r="AZ91" s="104">
        <v>4.9868199999999998</v>
      </c>
      <c r="BA91" s="104">
        <v>376004</v>
      </c>
      <c r="BB91" s="104">
        <v>525304</v>
      </c>
      <c r="BC91" s="104">
        <v>287.05399999999997</v>
      </c>
      <c r="BD91" s="104">
        <v>1.38432</v>
      </c>
      <c r="BE91" s="104">
        <v>1033.97</v>
      </c>
      <c r="BF91" s="104">
        <v>454.62599999999998</v>
      </c>
      <c r="BG91" s="104">
        <v>6852.63</v>
      </c>
      <c r="BH91" s="104">
        <v>255.94399999999999</v>
      </c>
      <c r="BI91" s="104">
        <v>0.562977040468429</v>
      </c>
      <c r="BJ91" s="104">
        <v>2613940</v>
      </c>
      <c r="BK91" s="104">
        <v>771.09500000000003</v>
      </c>
      <c r="BL91" s="104">
        <v>11.8095</v>
      </c>
      <c r="BM91" s="104">
        <v>570545</v>
      </c>
      <c r="BN91" s="104">
        <v>791888</v>
      </c>
      <c r="BO91" s="104">
        <v>287.05</v>
      </c>
      <c r="BP91" s="104">
        <v>1.3568100000000001</v>
      </c>
      <c r="BQ91" s="104">
        <v>1091.55</v>
      </c>
      <c r="BR91" s="104">
        <v>548.04600000000005</v>
      </c>
      <c r="BS91" s="104">
        <v>6909.52</v>
      </c>
      <c r="BT91" s="104">
        <v>0</v>
      </c>
      <c r="BU91" s="104">
        <v>0</v>
      </c>
      <c r="BV91" s="104">
        <v>2823100</v>
      </c>
      <c r="BW91" s="104">
        <v>786.82600000000002</v>
      </c>
      <c r="BX91" s="104">
        <v>12.4994</v>
      </c>
      <c r="BY91" s="104">
        <v>583202</v>
      </c>
      <c r="BZ91" s="104">
        <v>809060</v>
      </c>
      <c r="CA91" s="104">
        <v>287.05</v>
      </c>
      <c r="CB91" s="104">
        <v>1.35514</v>
      </c>
      <c r="CC91" s="104">
        <v>1095.32</v>
      </c>
      <c r="CD91" s="104">
        <v>553.25300000000004</v>
      </c>
      <c r="CE91" s="104">
        <v>6909.52</v>
      </c>
      <c r="CF91" s="104">
        <v>0</v>
      </c>
      <c r="CG91" s="104">
        <v>0</v>
      </c>
      <c r="CH91" s="104">
        <v>1506810</v>
      </c>
      <c r="CI91" s="104">
        <v>665.97799999999995</v>
      </c>
      <c r="CJ91" s="104">
        <v>7.8819699999999999</v>
      </c>
      <c r="CK91" s="104">
        <v>487091</v>
      </c>
      <c r="CL91" s="104">
        <v>678262</v>
      </c>
      <c r="CM91" s="104">
        <v>287.05399999999997</v>
      </c>
      <c r="CN91" s="104">
        <v>1.3682000000000001</v>
      </c>
      <c r="CO91" s="104">
        <v>1066.6600000000001</v>
      </c>
      <c r="CP91" s="104">
        <v>511.464</v>
      </c>
      <c r="CQ91" s="104">
        <v>6909.52</v>
      </c>
      <c r="CR91" s="104">
        <v>511.464</v>
      </c>
      <c r="CS91" s="104">
        <v>1</v>
      </c>
      <c r="CT91" s="104">
        <v>723.33600000000001</v>
      </c>
      <c r="CU91" s="104">
        <v>79.904799999999994</v>
      </c>
      <c r="CV91" s="104">
        <v>3.1539699999999997E-2</v>
      </c>
      <c r="CW91" s="104">
        <v>57520.5</v>
      </c>
      <c r="CX91" s="104">
        <v>80454.7</v>
      </c>
      <c r="CY91" s="104">
        <v>287.01900000000001</v>
      </c>
      <c r="CZ91" s="104">
        <v>1.3904799999999999</v>
      </c>
      <c r="DA91" s="104">
        <v>1022.06</v>
      </c>
      <c r="DB91" s="104">
        <v>178.56700000000001</v>
      </c>
      <c r="DC91" s="104">
        <v>6909.52</v>
      </c>
      <c r="DD91" s="104">
        <v>1207.1500000000001</v>
      </c>
      <c r="DE91" s="104">
        <v>6.7602099999999998</v>
      </c>
      <c r="DF91" s="106">
        <f t="shared" si="44"/>
        <v>6965812.8872421151</v>
      </c>
      <c r="DG91" s="106">
        <f t="shared" si="45"/>
        <v>809060.2612500001</v>
      </c>
      <c r="DH91" s="107"/>
      <c r="DJ91" s="104" t="s">
        <v>168</v>
      </c>
      <c r="DK91" s="104">
        <v>1087</v>
      </c>
      <c r="DL91" s="108">
        <f t="shared" si="42"/>
        <v>1616.8000000000002</v>
      </c>
      <c r="DM91" s="108">
        <f t="shared" si="43"/>
        <v>5533</v>
      </c>
      <c r="DU91" s="2">
        <v>5.9179945199999997</v>
      </c>
      <c r="DV91" s="2">
        <f t="shared" si="32"/>
        <v>5.4939595114771991E-2</v>
      </c>
      <c r="DW91" s="2">
        <f t="shared" si="33"/>
        <v>101.282340817624</v>
      </c>
      <c r="DX91" s="2">
        <f t="shared" si="34"/>
        <v>201.03960996285261</v>
      </c>
      <c r="DY91" s="2">
        <f t="shared" si="35"/>
        <v>1189.751310063099</v>
      </c>
      <c r="DZ91" s="19">
        <f t="shared" si="36"/>
        <v>9318593.8099247105</v>
      </c>
      <c r="EA91" s="2">
        <v>5.7739619199999996</v>
      </c>
      <c r="EB91" s="2">
        <f t="shared" si="37"/>
        <v>5.8215330434561993E-2</v>
      </c>
      <c r="EC91" s="2">
        <f t="shared" si="38"/>
        <v>105.745358698736</v>
      </c>
      <c r="ED91" s="2">
        <f t="shared" si="39"/>
        <v>205.42127729727383</v>
      </c>
      <c r="EE91" s="2">
        <f t="shared" si="40"/>
        <v>1186.0946326722196</v>
      </c>
      <c r="EF91" s="19">
        <f t="shared" si="41"/>
        <v>9421282.025515873</v>
      </c>
    </row>
    <row r="92" spans="1:136" s="54" customFormat="1">
      <c r="A92" s="53">
        <v>90</v>
      </c>
      <c r="B92" s="54" t="s">
        <v>247</v>
      </c>
      <c r="C92" s="54">
        <v>250430</v>
      </c>
      <c r="D92" s="54" t="s">
        <v>174</v>
      </c>
      <c r="E92" s="54" t="s">
        <v>272</v>
      </c>
      <c r="F92" s="54">
        <v>6.76</v>
      </c>
      <c r="G92" s="54">
        <v>1011.6</v>
      </c>
      <c r="H92" s="54">
        <v>21.1</v>
      </c>
      <c r="I92" s="54">
        <v>35.6</v>
      </c>
      <c r="J92" s="54" t="s">
        <v>151</v>
      </c>
      <c r="K92" s="54">
        <v>227.7</v>
      </c>
      <c r="L92" s="54" t="s">
        <v>264</v>
      </c>
      <c r="M92" s="54" t="s">
        <v>153</v>
      </c>
      <c r="N92" s="54" t="s">
        <v>154</v>
      </c>
      <c r="O92" s="54">
        <v>2.42</v>
      </c>
      <c r="P92" s="54">
        <v>23.2</v>
      </c>
      <c r="Q92" s="54">
        <v>0.77</v>
      </c>
      <c r="R92" s="54">
        <v>2500000</v>
      </c>
      <c r="S92" s="54" t="s">
        <v>155</v>
      </c>
      <c r="T92" s="54" t="s">
        <v>167</v>
      </c>
      <c r="U92" s="54" t="s">
        <v>157</v>
      </c>
      <c r="V92" s="54">
        <v>1500000</v>
      </c>
      <c r="W92" s="54">
        <v>1280</v>
      </c>
      <c r="X92" s="54">
        <v>32</v>
      </c>
      <c r="Y92" s="54" t="s">
        <v>158</v>
      </c>
      <c r="Z92" s="54">
        <v>9.5000000000000001E-2</v>
      </c>
      <c r="AA92" s="117">
        <v>3.4390510115200001</v>
      </c>
      <c r="AB92" s="117">
        <v>23.335792000000001</v>
      </c>
      <c r="AC92" s="117">
        <v>70.196857006244798</v>
      </c>
      <c r="AD92" s="117">
        <v>2.0861888713817299E-2</v>
      </c>
      <c r="AE92" s="117">
        <v>27.563660566204401</v>
      </c>
      <c r="AF92" s="117">
        <v>73.585419546444101</v>
      </c>
      <c r="AG92" s="117">
        <v>2.5802102217971399</v>
      </c>
      <c r="AH92" s="117">
        <v>2.3052000000000001</v>
      </c>
      <c r="AI92" s="117">
        <v>753.46594333936105</v>
      </c>
      <c r="AJ92" s="117">
        <v>1.0811999999999999</v>
      </c>
      <c r="AK92" s="117">
        <v>0.33360000000000001</v>
      </c>
      <c r="AL92" s="54">
        <v>343905</v>
      </c>
      <c r="AM92" s="54">
        <v>296.48599999999999</v>
      </c>
      <c r="AN92" s="54">
        <v>4.0407999999999999</v>
      </c>
      <c r="AO92" s="54">
        <v>213429</v>
      </c>
      <c r="AP92" s="54">
        <v>298537</v>
      </c>
      <c r="AQ92" s="54">
        <v>287.05700000000002</v>
      </c>
      <c r="AR92" s="54">
        <v>1.39053</v>
      </c>
      <c r="AS92" s="54">
        <v>1022.1</v>
      </c>
      <c r="AT92" s="54">
        <v>343.96699999999998</v>
      </c>
      <c r="AU92" s="54">
        <v>6493.75</v>
      </c>
      <c r="AV92" s="54">
        <v>0</v>
      </c>
      <c r="AW92" s="54">
        <v>0</v>
      </c>
      <c r="AX92" s="54">
        <v>1860380</v>
      </c>
      <c r="AY92" s="54">
        <v>543.62300000000005</v>
      </c>
      <c r="AZ92" s="54">
        <v>11.921900000000001</v>
      </c>
      <c r="BA92" s="54">
        <v>393737</v>
      </c>
      <c r="BB92" s="54">
        <v>549784</v>
      </c>
      <c r="BC92" s="54">
        <v>287.05</v>
      </c>
      <c r="BD92" s="54">
        <v>1.38165</v>
      </c>
      <c r="BE92" s="54">
        <v>1039.18</v>
      </c>
      <c r="BF92" s="54">
        <v>464.36</v>
      </c>
      <c r="BG92" s="54">
        <v>6635.56</v>
      </c>
      <c r="BH92" s="54">
        <v>255.37799999999999</v>
      </c>
      <c r="BI92" s="54">
        <v>0.54995692996812795</v>
      </c>
      <c r="BJ92" s="54">
        <v>6859190</v>
      </c>
      <c r="BK92" s="54">
        <v>819.78099999999995</v>
      </c>
      <c r="BL92" s="54">
        <v>29.148599999999998</v>
      </c>
      <c r="BM92" s="54">
        <v>609860</v>
      </c>
      <c r="BN92" s="54">
        <v>845178</v>
      </c>
      <c r="BO92" s="54">
        <v>287.05</v>
      </c>
      <c r="BP92" s="54">
        <v>1.35168</v>
      </c>
      <c r="BQ92" s="54">
        <v>1103.27</v>
      </c>
      <c r="BR92" s="54">
        <v>563.95699999999999</v>
      </c>
      <c r="BS92" s="54">
        <v>6699.86</v>
      </c>
      <c r="BT92" s="54">
        <v>0</v>
      </c>
      <c r="BU92" s="54">
        <v>0</v>
      </c>
      <c r="BV92" s="54">
        <v>7358540</v>
      </c>
      <c r="BW92" s="54">
        <v>834.89800000000002</v>
      </c>
      <c r="BX92" s="54">
        <v>30.7044</v>
      </c>
      <c r="BY92" s="54">
        <v>622223</v>
      </c>
      <c r="BZ92" s="54">
        <v>861881</v>
      </c>
      <c r="CA92" s="54">
        <v>287.05</v>
      </c>
      <c r="CB92" s="54">
        <v>1.3502799999999999</v>
      </c>
      <c r="CC92" s="54">
        <v>1106.55</v>
      </c>
      <c r="CD92" s="54">
        <v>568.83500000000004</v>
      </c>
      <c r="CE92" s="54">
        <v>6699.86</v>
      </c>
      <c r="CF92" s="54">
        <v>0</v>
      </c>
      <c r="CG92" s="54">
        <v>0</v>
      </c>
      <c r="CH92" s="54">
        <v>3928000</v>
      </c>
      <c r="CI92" s="54">
        <v>707.87300000000005</v>
      </c>
      <c r="CJ92" s="54">
        <v>19.331199999999999</v>
      </c>
      <c r="CK92" s="54">
        <v>520120</v>
      </c>
      <c r="CL92" s="54">
        <v>723315</v>
      </c>
      <c r="CM92" s="54">
        <v>287.05099999999999</v>
      </c>
      <c r="CN92" s="54">
        <v>1.36361</v>
      </c>
      <c r="CO92" s="54">
        <v>1076.51</v>
      </c>
      <c r="CP92" s="54">
        <v>526.43399999999997</v>
      </c>
      <c r="CQ92" s="54">
        <v>6699.86</v>
      </c>
      <c r="CR92" s="54">
        <v>526.43299999999999</v>
      </c>
      <c r="CS92" s="54">
        <v>0.99999810042664405</v>
      </c>
      <c r="CT92" s="54">
        <v>1866.47</v>
      </c>
      <c r="CU92" s="54">
        <v>85.116</v>
      </c>
      <c r="CV92" s="54">
        <v>7.6390700000000006E-2</v>
      </c>
      <c r="CW92" s="54">
        <v>61271.9</v>
      </c>
      <c r="CX92" s="54">
        <v>85705.1</v>
      </c>
      <c r="CY92" s="54">
        <v>287.05799999999999</v>
      </c>
      <c r="CZ92" s="54">
        <v>1.39053</v>
      </c>
      <c r="DA92" s="54">
        <v>1022.1</v>
      </c>
      <c r="DB92" s="54">
        <v>184.298</v>
      </c>
      <c r="DC92" s="54">
        <v>6699.86</v>
      </c>
      <c r="DD92" s="54">
        <v>1245.93</v>
      </c>
      <c r="DE92" s="54">
        <v>6.7604199999999999</v>
      </c>
      <c r="DF92" s="57">
        <f t="shared" si="44"/>
        <v>16271433.414543003</v>
      </c>
      <c r="DG92" s="57">
        <f t="shared" si="45"/>
        <v>861875.88245000003</v>
      </c>
      <c r="DH92" s="58"/>
      <c r="DJ92" s="54" t="s">
        <v>168</v>
      </c>
      <c r="DK92" s="54">
        <v>1666</v>
      </c>
      <c r="DL92" s="59">
        <f t="shared" si="42"/>
        <v>2166.4</v>
      </c>
      <c r="DM92" s="59">
        <f t="shared" si="43"/>
        <v>5624.2000000000007</v>
      </c>
      <c r="DU92" s="2">
        <v>5.9179945199999997</v>
      </c>
      <c r="DV92" s="2">
        <f t="shared" si="32"/>
        <v>0.133066393419532</v>
      </c>
      <c r="DW92" s="2">
        <f t="shared" si="33"/>
        <v>107.88773291508001</v>
      </c>
      <c r="DX92" s="2">
        <f t="shared" si="34"/>
        <v>207.49185480482848</v>
      </c>
      <c r="DY92" s="2">
        <f t="shared" si="35"/>
        <v>1227.9356596796106</v>
      </c>
      <c r="DZ92" s="19">
        <f t="shared" si="36"/>
        <v>21847552.052490614</v>
      </c>
      <c r="EA92" s="2">
        <v>5.7739619199999996</v>
      </c>
      <c r="EB92" s="2">
        <f t="shared" si="37"/>
        <v>0.14100038499502202</v>
      </c>
      <c r="EC92" s="2">
        <f t="shared" si="38"/>
        <v>112.64181815112001</v>
      </c>
      <c r="ED92" s="2">
        <f t="shared" si="39"/>
        <v>212.01414910556247</v>
      </c>
      <c r="EE92" s="2">
        <f t="shared" si="40"/>
        <v>1224.1616234367198</v>
      </c>
      <c r="EF92" s="19">
        <f t="shared" si="41"/>
        <v>22103347.845295612</v>
      </c>
    </row>
    <row r="93" spans="1:136" s="54" customFormat="1">
      <c r="A93" s="53">
        <v>91</v>
      </c>
      <c r="B93" s="54" t="s">
        <v>247</v>
      </c>
      <c r="C93" s="54">
        <v>250430</v>
      </c>
      <c r="D93" s="54" t="s">
        <v>174</v>
      </c>
      <c r="E93" s="54" t="s">
        <v>277</v>
      </c>
      <c r="F93" s="54">
        <v>6.76</v>
      </c>
      <c r="G93" s="54">
        <v>1011.2</v>
      </c>
      <c r="H93" s="54">
        <v>21.5</v>
      </c>
      <c r="I93" s="54">
        <v>34.299999999999997</v>
      </c>
      <c r="J93" s="54" t="s">
        <v>151</v>
      </c>
      <c r="K93" s="54">
        <v>228.3</v>
      </c>
      <c r="L93" s="54" t="s">
        <v>278</v>
      </c>
      <c r="M93" s="54" t="s">
        <v>153</v>
      </c>
      <c r="N93" s="54" t="s">
        <v>154</v>
      </c>
      <c r="O93" s="54">
        <v>1.75</v>
      </c>
      <c r="P93" s="54">
        <v>23.1</v>
      </c>
      <c r="Q93" s="54">
        <v>0.72</v>
      </c>
      <c r="R93" s="54">
        <v>2500000</v>
      </c>
      <c r="S93" s="54" t="s">
        <v>155</v>
      </c>
      <c r="T93" s="54" t="s">
        <v>167</v>
      </c>
      <c r="U93" s="54" t="s">
        <v>157</v>
      </c>
      <c r="V93" s="54">
        <v>1500000</v>
      </c>
      <c r="W93" s="54">
        <v>1280</v>
      </c>
      <c r="X93" s="54">
        <v>32</v>
      </c>
      <c r="Y93" s="54" t="s">
        <v>158</v>
      </c>
      <c r="Z93" s="54">
        <v>9.5000000000000001E-2</v>
      </c>
      <c r="AA93" s="117">
        <v>2.7790638140800001</v>
      </c>
      <c r="AB93" s="117">
        <v>23.247532</v>
      </c>
      <c r="AC93" s="117">
        <v>54.959822657167301</v>
      </c>
      <c r="AD93" s="117">
        <v>1.5909055863434E-2</v>
      </c>
      <c r="AE93" s="117">
        <v>32.500565006790303</v>
      </c>
      <c r="AF93" s="117">
        <v>57.445526750816498</v>
      </c>
      <c r="AG93" s="117">
        <v>1.73028207041737</v>
      </c>
      <c r="AH93" s="117">
        <v>2.0655999999999999</v>
      </c>
      <c r="AI93" s="117">
        <v>746.26865671641804</v>
      </c>
      <c r="AJ93" s="117">
        <v>1.1312</v>
      </c>
      <c r="AK93" s="117">
        <v>0.33279999999999998</v>
      </c>
      <c r="AL93" s="54">
        <v>277906</v>
      </c>
      <c r="AM93" s="54">
        <v>296.39800000000002</v>
      </c>
      <c r="AN93" s="54">
        <v>3.2663099999999998</v>
      </c>
      <c r="AO93" s="54">
        <v>213366</v>
      </c>
      <c r="AP93" s="54">
        <v>298448</v>
      </c>
      <c r="AQ93" s="54">
        <v>287.05599999999998</v>
      </c>
      <c r="AR93" s="54">
        <v>1.39053</v>
      </c>
      <c r="AS93" s="54">
        <v>1022.1</v>
      </c>
      <c r="AT93" s="54">
        <v>343.91500000000002</v>
      </c>
      <c r="AU93" s="54">
        <v>6554.59</v>
      </c>
      <c r="AV93" s="54">
        <v>0</v>
      </c>
      <c r="AW93" s="54">
        <v>0</v>
      </c>
      <c r="AX93" s="54">
        <v>1474130</v>
      </c>
      <c r="AY93" s="54">
        <v>538.32399999999996</v>
      </c>
      <c r="AZ93" s="54">
        <v>9.5396199999999993</v>
      </c>
      <c r="BA93" s="54">
        <v>389734</v>
      </c>
      <c r="BB93" s="54">
        <v>544262</v>
      </c>
      <c r="BC93" s="54">
        <v>287.053</v>
      </c>
      <c r="BD93" s="54">
        <v>1.38225</v>
      </c>
      <c r="BE93" s="54">
        <v>1038.01</v>
      </c>
      <c r="BF93" s="54">
        <v>462.18700000000001</v>
      </c>
      <c r="BG93" s="54">
        <v>6692.2</v>
      </c>
      <c r="BH93" s="54">
        <v>255.518</v>
      </c>
      <c r="BI93" s="54">
        <v>0.55284549327436705</v>
      </c>
      <c r="BJ93" s="54">
        <v>5375960</v>
      </c>
      <c r="BK93" s="54">
        <v>808.69899999999996</v>
      </c>
      <c r="BL93" s="54">
        <v>23.1587</v>
      </c>
      <c r="BM93" s="54">
        <v>600873</v>
      </c>
      <c r="BN93" s="54">
        <v>833009</v>
      </c>
      <c r="BO93" s="54">
        <v>287.04899999999998</v>
      </c>
      <c r="BP93" s="54">
        <v>1.35284</v>
      </c>
      <c r="BQ93" s="54">
        <v>1100.5899999999999</v>
      </c>
      <c r="BR93" s="54">
        <v>560.38699999999994</v>
      </c>
      <c r="BS93" s="54">
        <v>6754.8</v>
      </c>
      <c r="BT93" s="54">
        <v>0</v>
      </c>
      <c r="BU93" s="54">
        <v>0</v>
      </c>
      <c r="BV93" s="54">
        <v>5744550</v>
      </c>
      <c r="BW93" s="54">
        <v>822.76499999999999</v>
      </c>
      <c r="BX93" s="54">
        <v>24.323499999999999</v>
      </c>
      <c r="BY93" s="54">
        <v>612283</v>
      </c>
      <c r="BZ93" s="54">
        <v>848457</v>
      </c>
      <c r="CA93" s="54">
        <v>287.04899999999998</v>
      </c>
      <c r="CB93" s="54">
        <v>1.35137</v>
      </c>
      <c r="CC93" s="54">
        <v>1104</v>
      </c>
      <c r="CD93" s="54">
        <v>564.91300000000001</v>
      </c>
      <c r="CE93" s="54">
        <v>6754.8</v>
      </c>
      <c r="CF93" s="54">
        <v>0</v>
      </c>
      <c r="CG93" s="54">
        <v>0</v>
      </c>
      <c r="CH93" s="54">
        <v>3064750</v>
      </c>
      <c r="CI93" s="54">
        <v>697.24400000000003</v>
      </c>
      <c r="CJ93" s="54">
        <v>15.3127</v>
      </c>
      <c r="CK93" s="54">
        <v>511712</v>
      </c>
      <c r="CL93" s="54">
        <v>711856</v>
      </c>
      <c r="CM93" s="54">
        <v>287.05</v>
      </c>
      <c r="CN93" s="54">
        <v>1.36476</v>
      </c>
      <c r="CO93" s="54">
        <v>1074</v>
      </c>
      <c r="CP93" s="54">
        <v>522.68799999999999</v>
      </c>
      <c r="CQ93" s="54">
        <v>6754.8</v>
      </c>
      <c r="CR93" s="54">
        <v>522.68700000000001</v>
      </c>
      <c r="CS93" s="54">
        <v>0.99999808681278302</v>
      </c>
      <c r="CT93" s="54">
        <v>1457.93</v>
      </c>
      <c r="CU93" s="54">
        <v>83.790599999999998</v>
      </c>
      <c r="CV93" s="54">
        <v>6.0614399999999999E-2</v>
      </c>
      <c r="CW93" s="54">
        <v>60317.8</v>
      </c>
      <c r="CX93" s="54">
        <v>84370.3</v>
      </c>
      <c r="CY93" s="54">
        <v>287.05399999999997</v>
      </c>
      <c r="CZ93" s="54">
        <v>1.39053</v>
      </c>
      <c r="DA93" s="54">
        <v>1022.1</v>
      </c>
      <c r="DB93" s="54">
        <v>182.858</v>
      </c>
      <c r="DC93" s="54">
        <v>6754.8</v>
      </c>
      <c r="DD93" s="54">
        <v>1236.19</v>
      </c>
      <c r="DE93" s="54">
        <v>6.7604100000000003</v>
      </c>
      <c r="DF93" s="57">
        <f t="shared" si="44"/>
        <v>13026613.993752852</v>
      </c>
      <c r="DG93" s="57">
        <f t="shared" si="45"/>
        <v>848453.15805000009</v>
      </c>
      <c r="DH93" s="58"/>
      <c r="DJ93" s="54" t="s">
        <v>168</v>
      </c>
      <c r="DK93" s="54">
        <v>1604</v>
      </c>
      <c r="DL93" s="59">
        <f t="shared" si="42"/>
        <v>2103.1999999999998</v>
      </c>
      <c r="DM93" s="59">
        <f t="shared" si="43"/>
        <v>5201.5999999999995</v>
      </c>
      <c r="DU93" s="2">
        <v>5.9179945199999997</v>
      </c>
      <c r="DV93" s="2">
        <f t="shared" si="32"/>
        <v>0.10558536048614399</v>
      </c>
      <c r="DW93" s="2">
        <f t="shared" si="33"/>
        <v>106.207738540278</v>
      </c>
      <c r="DX93" s="2">
        <f t="shared" si="34"/>
        <v>205.87063118374223</v>
      </c>
      <c r="DY93" s="2">
        <f t="shared" si="35"/>
        <v>1218.3412671743276</v>
      </c>
      <c r="DZ93" s="19">
        <f t="shared" si="36"/>
        <v>17474677.761987116</v>
      </c>
      <c r="EA93" s="2">
        <v>5.7739619199999996</v>
      </c>
      <c r="EB93" s="2">
        <f t="shared" si="37"/>
        <v>0.111880814500224</v>
      </c>
      <c r="EC93" s="2">
        <f t="shared" si="38"/>
        <v>110.88779463289201</v>
      </c>
      <c r="ED93" s="2">
        <f t="shared" si="39"/>
        <v>210.35759084279235</v>
      </c>
      <c r="EE93" s="2">
        <f t="shared" si="40"/>
        <v>1214.5967191092236</v>
      </c>
      <c r="EF93" s="19">
        <f t="shared" si="41"/>
        <v>17676284.386986215</v>
      </c>
    </row>
    <row r="94" spans="1:136" s="54" customFormat="1">
      <c r="A94" s="53">
        <v>92</v>
      </c>
      <c r="B94" s="54" t="s">
        <v>247</v>
      </c>
      <c r="C94" s="54">
        <v>250430</v>
      </c>
      <c r="D94" s="54" t="s">
        <v>174</v>
      </c>
      <c r="E94" s="54" t="s">
        <v>275</v>
      </c>
      <c r="F94" s="54">
        <v>6.76</v>
      </c>
      <c r="G94" s="54">
        <v>1011.2</v>
      </c>
      <c r="H94" s="54">
        <v>21.7</v>
      </c>
      <c r="I94" s="54">
        <v>33.9</v>
      </c>
      <c r="J94" s="54" t="s">
        <v>151</v>
      </c>
      <c r="K94" s="54">
        <v>216.9</v>
      </c>
      <c r="L94" s="54" t="s">
        <v>260</v>
      </c>
      <c r="M94" s="54" t="s">
        <v>153</v>
      </c>
      <c r="N94" s="54" t="s">
        <v>154</v>
      </c>
      <c r="O94" s="54">
        <v>1.1200000000000001</v>
      </c>
      <c r="P94" s="54">
        <v>23.2</v>
      </c>
      <c r="Q94" s="54">
        <v>0.76</v>
      </c>
      <c r="R94" s="54">
        <v>2500000</v>
      </c>
      <c r="S94" s="54" t="s">
        <v>155</v>
      </c>
      <c r="T94" s="54" t="s">
        <v>167</v>
      </c>
      <c r="U94" s="54" t="s">
        <v>157</v>
      </c>
      <c r="V94" s="54">
        <v>1500000</v>
      </c>
      <c r="W94" s="54">
        <v>1280</v>
      </c>
      <c r="X94" s="54">
        <v>32</v>
      </c>
      <c r="Y94" s="54" t="s">
        <v>158</v>
      </c>
      <c r="Z94" s="54">
        <v>9.5000000000000001E-2</v>
      </c>
      <c r="AA94" s="54">
        <v>2.1281663559999999</v>
      </c>
      <c r="AB94" s="55">
        <v>23.334916</v>
      </c>
      <c r="AC94" s="54">
        <v>44.508732780000003</v>
      </c>
      <c r="AD94" s="54">
        <v>1.9263599999999999E-2</v>
      </c>
      <c r="AE94" s="54">
        <v>30.032957199999998</v>
      </c>
      <c r="AF94" s="54">
        <v>46.126881500000003</v>
      </c>
      <c r="AG94" s="54">
        <v>1.570368312</v>
      </c>
      <c r="AH94" s="54">
        <v>2.2732000000000001</v>
      </c>
      <c r="AI94" s="54">
        <v>747.60765549999996</v>
      </c>
      <c r="AJ94" s="54">
        <v>1.1608000000000001</v>
      </c>
      <c r="AK94" s="54">
        <v>0.33239999999999997</v>
      </c>
      <c r="AL94" s="54">
        <v>212817</v>
      </c>
      <c r="AM94" s="54">
        <v>296.48500000000001</v>
      </c>
      <c r="AN94" s="54">
        <v>2.5005999999999999</v>
      </c>
      <c r="AO94" s="54">
        <v>213429</v>
      </c>
      <c r="AP94" s="54">
        <v>298535</v>
      </c>
      <c r="AQ94" s="54">
        <v>287.05099999999999</v>
      </c>
      <c r="AR94" s="54">
        <v>1.39052</v>
      </c>
      <c r="AS94" s="54">
        <v>1022.09</v>
      </c>
      <c r="AT94" s="54">
        <v>343.96600000000001</v>
      </c>
      <c r="AU94" s="54">
        <v>6631.3</v>
      </c>
      <c r="AV94" s="54">
        <v>0</v>
      </c>
      <c r="AW94" s="54">
        <v>0</v>
      </c>
      <c r="AX94" s="54">
        <v>1132740</v>
      </c>
      <c r="AY94" s="54">
        <v>539.36</v>
      </c>
      <c r="AZ94" s="54">
        <v>7.3160800000000004</v>
      </c>
      <c r="BA94" s="54">
        <v>390517</v>
      </c>
      <c r="BB94" s="54">
        <v>545346</v>
      </c>
      <c r="BC94" s="54">
        <v>287.06099999999998</v>
      </c>
      <c r="BD94" s="54">
        <v>1.3821399999999999</v>
      </c>
      <c r="BE94" s="54">
        <v>1038.24</v>
      </c>
      <c r="BF94" s="54">
        <v>462.61399999999998</v>
      </c>
      <c r="BG94" s="54">
        <v>6769.85</v>
      </c>
      <c r="BH94" s="54">
        <v>255.529</v>
      </c>
      <c r="BI94" s="54">
        <v>0.55235898610936995</v>
      </c>
      <c r="BJ94" s="54">
        <v>4138760</v>
      </c>
      <c r="BK94" s="54">
        <v>810.79</v>
      </c>
      <c r="BL94" s="54">
        <v>17.783000000000001</v>
      </c>
      <c r="BM94" s="54">
        <v>602568</v>
      </c>
      <c r="BN94" s="54">
        <v>835305</v>
      </c>
      <c r="BO94" s="54">
        <v>287.05</v>
      </c>
      <c r="BP94" s="54">
        <v>1.3526199999999999</v>
      </c>
      <c r="BQ94" s="54">
        <v>1101.0999999999999</v>
      </c>
      <c r="BR94" s="54">
        <v>561.06399999999996</v>
      </c>
      <c r="BS94" s="54">
        <v>6832.69</v>
      </c>
      <c r="BT94" s="54">
        <v>0</v>
      </c>
      <c r="BU94" s="54">
        <v>0</v>
      </c>
      <c r="BV94" s="54">
        <v>4612690</v>
      </c>
      <c r="BW94" s="54">
        <v>833.95699999999999</v>
      </c>
      <c r="BX94" s="54">
        <v>19.268799999999999</v>
      </c>
      <c r="BY94" s="54">
        <v>621450</v>
      </c>
      <c r="BZ94" s="54">
        <v>860837</v>
      </c>
      <c r="CA94" s="54">
        <v>287.04899999999998</v>
      </c>
      <c r="CB94" s="54">
        <v>1.35036</v>
      </c>
      <c r="CC94" s="54">
        <v>1106.3499999999999</v>
      </c>
      <c r="CD94" s="54">
        <v>568.53099999999995</v>
      </c>
      <c r="CE94" s="54">
        <v>6832.69</v>
      </c>
      <c r="CF94" s="54">
        <v>0</v>
      </c>
      <c r="CG94" s="54">
        <v>0</v>
      </c>
      <c r="CH94" s="54">
        <v>2462130</v>
      </c>
      <c r="CI94" s="54">
        <v>707.04600000000005</v>
      </c>
      <c r="CJ94" s="54">
        <v>12.1312</v>
      </c>
      <c r="CK94" s="54">
        <v>519465</v>
      </c>
      <c r="CL94" s="54">
        <v>722424</v>
      </c>
      <c r="CM94" s="54">
        <v>287.05200000000002</v>
      </c>
      <c r="CN94" s="54">
        <v>1.3636999999999999</v>
      </c>
      <c r="CO94" s="54">
        <v>1076.31</v>
      </c>
      <c r="CP94" s="54">
        <v>526.14400000000001</v>
      </c>
      <c r="CQ94" s="54">
        <v>6832.69</v>
      </c>
      <c r="CR94" s="54">
        <v>526.14300000000003</v>
      </c>
      <c r="CS94" s="54">
        <v>0.99999809937963802</v>
      </c>
      <c r="CT94" s="54">
        <v>1172.1400000000001</v>
      </c>
      <c r="CU94" s="54">
        <v>85.030500000000004</v>
      </c>
      <c r="CV94" s="54">
        <v>4.8023299999999998E-2</v>
      </c>
      <c r="CW94" s="54">
        <v>61210.3</v>
      </c>
      <c r="CX94" s="54">
        <v>85617.9</v>
      </c>
      <c r="CY94" s="54">
        <v>287.04599999999999</v>
      </c>
      <c r="CZ94" s="54">
        <v>1.39052</v>
      </c>
      <c r="DA94" s="54">
        <v>1022.09</v>
      </c>
      <c r="DB94" s="54">
        <v>184.20599999999999</v>
      </c>
      <c r="DC94" s="54">
        <v>6832.69</v>
      </c>
      <c r="DD94" s="54">
        <v>1245.17</v>
      </c>
      <c r="DE94" s="54">
        <v>6.7596600000000002</v>
      </c>
      <c r="DF94" s="57">
        <f t="shared" si="44"/>
        <v>10233817.30638082</v>
      </c>
      <c r="DG94" s="57">
        <f t="shared" si="45"/>
        <v>860842.06445000006</v>
      </c>
      <c r="DH94" s="58"/>
      <c r="DJ94" s="54" t="s">
        <v>168</v>
      </c>
      <c r="DK94" s="54">
        <v>1400</v>
      </c>
      <c r="DL94" s="59">
        <f t="shared" si="42"/>
        <v>1898.6</v>
      </c>
      <c r="DM94" s="59">
        <f t="shared" si="43"/>
        <v>5308.4</v>
      </c>
      <c r="DU94" s="2">
        <v>5.9179945199999997</v>
      </c>
      <c r="DV94" s="2">
        <f t="shared" si="32"/>
        <v>8.3652687187107985E-2</v>
      </c>
      <c r="DW94" s="2">
        <f t="shared" si="33"/>
        <v>107.77935844771501</v>
      </c>
      <c r="DX94" s="2">
        <f t="shared" si="34"/>
        <v>207.38827662903685</v>
      </c>
      <c r="DY94" s="2">
        <f t="shared" si="35"/>
        <v>1227.322684602884</v>
      </c>
      <c r="DZ94" s="19">
        <f t="shared" si="36"/>
        <v>13741592.756169101</v>
      </c>
      <c r="EA94" s="2">
        <v>5.7739619199999996</v>
      </c>
      <c r="EB94" s="2">
        <f t="shared" si="37"/>
        <v>8.8640420741417994E-2</v>
      </c>
      <c r="EC94" s="2">
        <f t="shared" si="38"/>
        <v>112.52866815051001</v>
      </c>
      <c r="ED94" s="2">
        <f t="shared" si="39"/>
        <v>211.90831343877437</v>
      </c>
      <c r="EE94" s="2">
        <f t="shared" si="40"/>
        <v>1223.5505323269074</v>
      </c>
      <c r="EF94" s="19">
        <f t="shared" si="41"/>
        <v>13902331.632685743</v>
      </c>
    </row>
    <row r="95" spans="1:136" s="54" customFormat="1">
      <c r="A95" s="53">
        <v>93</v>
      </c>
      <c r="B95" s="54" t="s">
        <v>247</v>
      </c>
      <c r="C95" s="54">
        <v>250430</v>
      </c>
      <c r="D95" s="54" t="s">
        <v>174</v>
      </c>
      <c r="E95" s="54" t="s">
        <v>121</v>
      </c>
      <c r="F95" s="54">
        <v>6.76</v>
      </c>
      <c r="G95" s="54">
        <v>1010.8</v>
      </c>
      <c r="H95" s="54">
        <v>21.7</v>
      </c>
      <c r="I95" s="54">
        <v>33.1</v>
      </c>
      <c r="J95" s="54" t="s">
        <v>151</v>
      </c>
      <c r="K95" s="54">
        <v>218</v>
      </c>
      <c r="L95" s="54" t="s">
        <v>279</v>
      </c>
      <c r="M95" s="54" t="s">
        <v>153</v>
      </c>
      <c r="N95" s="54" t="s">
        <v>154</v>
      </c>
      <c r="O95" s="54">
        <v>0.48</v>
      </c>
      <c r="P95" s="54">
        <v>23.2</v>
      </c>
      <c r="Q95" s="54">
        <v>0.76</v>
      </c>
      <c r="R95" s="54">
        <v>2500000</v>
      </c>
      <c r="S95" s="54" t="s">
        <v>155</v>
      </c>
      <c r="T95" s="54" t="s">
        <v>167</v>
      </c>
      <c r="U95" s="54" t="s">
        <v>157</v>
      </c>
      <c r="V95" s="54">
        <v>1500000</v>
      </c>
      <c r="W95" s="54">
        <v>1280</v>
      </c>
      <c r="X95" s="54">
        <v>32</v>
      </c>
      <c r="Y95" s="54" t="s">
        <v>158</v>
      </c>
      <c r="Z95" s="54">
        <v>9.5000000000000001E-2</v>
      </c>
      <c r="AA95" s="54">
        <v>1.5058052209999999</v>
      </c>
      <c r="AB95" s="55">
        <v>23.329000000000001</v>
      </c>
      <c r="AC95" s="54">
        <v>24.537128200000001</v>
      </c>
      <c r="AD95" s="54">
        <v>3.5470772999999997E-2</v>
      </c>
      <c r="AE95" s="54">
        <v>29.640552719999999</v>
      </c>
      <c r="AF95" s="54">
        <v>25.99046963</v>
      </c>
      <c r="AG95" s="54">
        <v>0.91013857499999995</v>
      </c>
      <c r="AH95" s="54">
        <v>2.3816000000000002</v>
      </c>
      <c r="AI95" s="54">
        <v>701.06561969999996</v>
      </c>
      <c r="AJ95" s="54">
        <v>1.3036000000000001</v>
      </c>
      <c r="AK95" s="54">
        <v>0.33360000000000001</v>
      </c>
      <c r="AL95" s="54">
        <v>150581</v>
      </c>
      <c r="AM95" s="54">
        <v>296.47899999999998</v>
      </c>
      <c r="AN95" s="54">
        <v>1.76935</v>
      </c>
      <c r="AO95" s="54">
        <v>213424</v>
      </c>
      <c r="AP95" s="54">
        <v>298529</v>
      </c>
      <c r="AQ95" s="54">
        <v>287.05200000000002</v>
      </c>
      <c r="AR95" s="54">
        <v>1.39052</v>
      </c>
      <c r="AS95" s="54">
        <v>1022.1</v>
      </c>
      <c r="AT95" s="54">
        <v>343.96199999999999</v>
      </c>
      <c r="AU95" s="54">
        <v>6730.83</v>
      </c>
      <c r="AV95" s="54">
        <v>0</v>
      </c>
      <c r="AW95" s="54">
        <v>0</v>
      </c>
      <c r="AX95" s="54">
        <v>701106</v>
      </c>
      <c r="AY95" s="54">
        <v>506.52199999999999</v>
      </c>
      <c r="AZ95" s="54">
        <v>4.82193</v>
      </c>
      <c r="BA95" s="54">
        <v>365788</v>
      </c>
      <c r="BB95" s="54">
        <v>511187</v>
      </c>
      <c r="BC95" s="54">
        <v>287.05500000000001</v>
      </c>
      <c r="BD95" s="54">
        <v>1.38588</v>
      </c>
      <c r="BE95" s="54">
        <v>1030.96</v>
      </c>
      <c r="BF95" s="54">
        <v>448.887</v>
      </c>
      <c r="BG95" s="54">
        <v>6842.55</v>
      </c>
      <c r="BH95" s="54">
        <v>257.24900000000002</v>
      </c>
      <c r="BI95" s="54">
        <v>0.57308186692864804</v>
      </c>
      <c r="BJ95" s="54">
        <v>2371320</v>
      </c>
      <c r="BK95" s="54">
        <v>741.12900000000002</v>
      </c>
      <c r="BL95" s="54">
        <v>11.1465</v>
      </c>
      <c r="BM95" s="54">
        <v>546556</v>
      </c>
      <c r="BN95" s="54">
        <v>759298</v>
      </c>
      <c r="BO95" s="54">
        <v>287.05200000000002</v>
      </c>
      <c r="BP95" s="54">
        <v>1.3600099999999999</v>
      </c>
      <c r="BQ95" s="54">
        <v>1084.3900000000001</v>
      </c>
      <c r="BR95" s="54">
        <v>537.94200000000001</v>
      </c>
      <c r="BS95" s="54">
        <v>6894.35</v>
      </c>
      <c r="BT95" s="54">
        <v>0</v>
      </c>
      <c r="BU95" s="54">
        <v>0</v>
      </c>
      <c r="BV95" s="54">
        <v>2599050</v>
      </c>
      <c r="BW95" s="54">
        <v>759.30200000000002</v>
      </c>
      <c r="BX95" s="54">
        <v>11.9245</v>
      </c>
      <c r="BY95" s="54">
        <v>561085</v>
      </c>
      <c r="BZ95" s="54">
        <v>779044</v>
      </c>
      <c r="CA95" s="54">
        <v>287.05099999999999</v>
      </c>
      <c r="CB95" s="54">
        <v>1.35806</v>
      </c>
      <c r="CC95" s="54">
        <v>1088.73</v>
      </c>
      <c r="CD95" s="54">
        <v>544.09799999999996</v>
      </c>
      <c r="CE95" s="54">
        <v>6894.35</v>
      </c>
      <c r="CF95" s="54">
        <v>0</v>
      </c>
      <c r="CG95" s="54">
        <v>0</v>
      </c>
      <c r="CH95" s="54">
        <v>1385430</v>
      </c>
      <c r="CI95" s="54">
        <v>641.81600000000003</v>
      </c>
      <c r="CJ95" s="54">
        <v>7.5198400000000003</v>
      </c>
      <c r="CK95" s="54">
        <v>468509</v>
      </c>
      <c r="CL95" s="54">
        <v>652745</v>
      </c>
      <c r="CM95" s="54">
        <v>287.05500000000001</v>
      </c>
      <c r="CN95" s="54">
        <v>1.3708100000000001</v>
      </c>
      <c r="CO95" s="54">
        <v>1061.19</v>
      </c>
      <c r="CP95" s="54">
        <v>502.59100000000001</v>
      </c>
      <c r="CQ95" s="54">
        <v>6894.35</v>
      </c>
      <c r="CR95" s="54">
        <v>502.59</v>
      </c>
      <c r="CS95" s="54">
        <v>0.99999801031057001</v>
      </c>
      <c r="CT95" s="54">
        <v>666.25599999999997</v>
      </c>
      <c r="CU95" s="54">
        <v>76.936499999999995</v>
      </c>
      <c r="CV95" s="54">
        <v>3.0171900000000001E-2</v>
      </c>
      <c r="CW95" s="54">
        <v>55383.7</v>
      </c>
      <c r="CX95" s="54">
        <v>77465.7</v>
      </c>
      <c r="CY95" s="54">
        <v>287.01600000000002</v>
      </c>
      <c r="CZ95" s="54">
        <v>1.3904700000000001</v>
      </c>
      <c r="DA95" s="54">
        <v>1022.06</v>
      </c>
      <c r="DB95" s="54">
        <v>175.21899999999999</v>
      </c>
      <c r="DC95" s="54">
        <v>6894.35</v>
      </c>
      <c r="DD95" s="54">
        <v>1184.55</v>
      </c>
      <c r="DE95" s="54">
        <v>6.7603999999999997</v>
      </c>
      <c r="DF95" s="57">
        <f t="shared" si="44"/>
        <v>6813402.0333212968</v>
      </c>
      <c r="DG95" s="57">
        <f t="shared" si="45"/>
        <v>779045.0512499999</v>
      </c>
      <c r="DH95" s="58"/>
      <c r="DJ95" s="54" t="s">
        <v>168</v>
      </c>
      <c r="DK95" s="54">
        <v>1360</v>
      </c>
      <c r="DL95" s="59">
        <f t="shared" si="42"/>
        <v>1860.4</v>
      </c>
      <c r="DM95" s="59">
        <f t="shared" si="43"/>
        <v>5432.8</v>
      </c>
      <c r="DU95" s="2">
        <v>5.9179945199999997</v>
      </c>
      <c r="DV95" s="2">
        <f t="shared" si="32"/>
        <v>5.2556998634843997E-2</v>
      </c>
      <c r="DW95" s="2">
        <f t="shared" si="33"/>
        <v>97.519908870495001</v>
      </c>
      <c r="DX95" s="2">
        <f t="shared" si="34"/>
        <v>197.27026504382707</v>
      </c>
      <c r="DY95" s="2">
        <f t="shared" si="35"/>
        <v>1167.444347488316</v>
      </c>
      <c r="DZ95" s="19">
        <f t="shared" si="36"/>
        <v>9094311.0002053436</v>
      </c>
      <c r="EA95" s="2">
        <v>5.7739619199999996</v>
      </c>
      <c r="EB95" s="2">
        <f t="shared" si="37"/>
        <v>5.5690673289174E-2</v>
      </c>
      <c r="EC95" s="2">
        <f t="shared" si="38"/>
        <v>101.81713475943</v>
      </c>
      <c r="ED95" s="2">
        <f t="shared" si="39"/>
        <v>201.56977933633326</v>
      </c>
      <c r="EE95" s="2">
        <f t="shared" si="40"/>
        <v>1163.8562301107911</v>
      </c>
      <c r="EF95" s="19">
        <f t="shared" si="41"/>
        <v>9190783.8323761746</v>
      </c>
    </row>
    <row r="96" spans="1:136" s="54" customFormat="1">
      <c r="A96" s="53">
        <v>94</v>
      </c>
      <c r="B96" s="54" t="s">
        <v>247</v>
      </c>
      <c r="C96" s="54">
        <v>250430</v>
      </c>
      <c r="D96" s="54" t="s">
        <v>174</v>
      </c>
      <c r="E96" s="54" t="s">
        <v>268</v>
      </c>
      <c r="F96" s="54">
        <v>6.76</v>
      </c>
      <c r="G96" s="54">
        <v>1010.8</v>
      </c>
      <c r="H96" s="54">
        <v>21.7</v>
      </c>
      <c r="I96" s="54">
        <v>32.9</v>
      </c>
      <c r="J96" s="54" t="s">
        <v>151</v>
      </c>
      <c r="K96" s="54">
        <v>223.3</v>
      </c>
      <c r="L96" s="54" t="s">
        <v>281</v>
      </c>
      <c r="M96" s="54" t="s">
        <v>153</v>
      </c>
      <c r="N96" s="54" t="s">
        <v>154</v>
      </c>
      <c r="O96" s="54">
        <v>5</v>
      </c>
      <c r="P96" s="54">
        <v>23.1</v>
      </c>
      <c r="Q96" s="54">
        <v>0.82</v>
      </c>
      <c r="R96" s="54">
        <v>2500000</v>
      </c>
      <c r="S96" s="54" t="s">
        <v>155</v>
      </c>
      <c r="T96" s="54" t="s">
        <v>167</v>
      </c>
      <c r="U96" s="54" t="s">
        <v>157</v>
      </c>
      <c r="V96" s="54">
        <v>1500000</v>
      </c>
      <c r="W96" s="54">
        <v>1280</v>
      </c>
      <c r="X96" s="54">
        <v>32</v>
      </c>
      <c r="Y96" s="54" t="s">
        <v>158</v>
      </c>
      <c r="Z96" s="54">
        <v>9.5000000000000001E-2</v>
      </c>
      <c r="AA96" s="54">
        <v>5.9974209350000001</v>
      </c>
      <c r="AB96" s="55">
        <v>23.244364000000001</v>
      </c>
      <c r="AC96" s="54">
        <v>125.53551280000001</v>
      </c>
      <c r="AD96" s="54">
        <v>1.1952374999999999E-2</v>
      </c>
      <c r="AE96" s="54">
        <v>35.002176609999999</v>
      </c>
      <c r="AF96" s="54">
        <v>142.7076385</v>
      </c>
      <c r="AG96" s="54">
        <v>5.2925616150000003</v>
      </c>
      <c r="AH96" s="54">
        <v>2.0236000000000001</v>
      </c>
      <c r="AI96" s="54">
        <v>784.1907152</v>
      </c>
      <c r="AJ96" s="54">
        <v>1.0067999999999999</v>
      </c>
      <c r="AK96" s="54">
        <v>0.31359999999999999</v>
      </c>
      <c r="AL96" s="54">
        <v>599742</v>
      </c>
      <c r="AM96" s="54">
        <v>296.39400000000001</v>
      </c>
      <c r="AN96" s="54">
        <v>7.0488200000000001</v>
      </c>
      <c r="AO96" s="54">
        <v>213363</v>
      </c>
      <c r="AP96" s="54">
        <v>298447</v>
      </c>
      <c r="AQ96" s="54">
        <v>287.06400000000002</v>
      </c>
      <c r="AR96" s="54">
        <v>1.3905400000000001</v>
      </c>
      <c r="AS96" s="54">
        <v>1022.11</v>
      </c>
      <c r="AT96" s="54">
        <v>343.91399999999999</v>
      </c>
      <c r="AU96" s="54">
        <v>6333.76</v>
      </c>
      <c r="AV96" s="54">
        <v>0</v>
      </c>
      <c r="AW96" s="54">
        <v>0</v>
      </c>
      <c r="AX96" s="54">
        <v>3525700</v>
      </c>
      <c r="AY96" s="54">
        <v>566.29100000000005</v>
      </c>
      <c r="AZ96" s="54">
        <v>21.6892</v>
      </c>
      <c r="BA96" s="54">
        <v>410894</v>
      </c>
      <c r="BB96" s="54">
        <v>573449</v>
      </c>
      <c r="BC96" s="54">
        <v>287.053</v>
      </c>
      <c r="BD96" s="54">
        <v>1.3791100000000001</v>
      </c>
      <c r="BE96" s="54">
        <v>1044.23</v>
      </c>
      <c r="BF96" s="54">
        <v>473.51900000000001</v>
      </c>
      <c r="BG96" s="54">
        <v>6494.58</v>
      </c>
      <c r="BH96" s="54">
        <v>254.85599999999999</v>
      </c>
      <c r="BI96" s="54">
        <v>0.53821705148051102</v>
      </c>
      <c r="BJ96" s="54">
        <v>13596800</v>
      </c>
      <c r="BK96" s="54">
        <v>867.22799999999995</v>
      </c>
      <c r="BL96" s="54">
        <v>54.619599999999998</v>
      </c>
      <c r="BM96" s="54">
        <v>648874</v>
      </c>
      <c r="BN96" s="54">
        <v>897810</v>
      </c>
      <c r="BO96" s="54">
        <v>287.048</v>
      </c>
      <c r="BP96" s="54">
        <v>1.3474200000000001</v>
      </c>
      <c r="BQ96" s="54">
        <v>1113.29</v>
      </c>
      <c r="BR96" s="54">
        <v>579.13300000000004</v>
      </c>
      <c r="BS96" s="54">
        <v>6565.77</v>
      </c>
      <c r="BT96" s="54">
        <v>0</v>
      </c>
      <c r="BU96" s="54">
        <v>0</v>
      </c>
      <c r="BV96" s="54">
        <v>14270800</v>
      </c>
      <c r="BW96" s="54">
        <v>878.11099999999999</v>
      </c>
      <c r="BX96" s="54">
        <v>56.616399999999999</v>
      </c>
      <c r="BY96" s="54">
        <v>657890</v>
      </c>
      <c r="BZ96" s="54">
        <v>909950</v>
      </c>
      <c r="CA96" s="54">
        <v>287.04899999999998</v>
      </c>
      <c r="CB96" s="54">
        <v>1.34646</v>
      </c>
      <c r="CC96" s="54">
        <v>1115.57</v>
      </c>
      <c r="CD96" s="54">
        <v>582.54700000000003</v>
      </c>
      <c r="CE96" s="54">
        <v>6565.77</v>
      </c>
      <c r="CF96" s="54">
        <v>0</v>
      </c>
      <c r="CG96" s="54">
        <v>0</v>
      </c>
      <c r="CH96" s="54">
        <v>7628540</v>
      </c>
      <c r="CI96" s="54">
        <v>745.827</v>
      </c>
      <c r="CJ96" s="54">
        <v>35.632300000000001</v>
      </c>
      <c r="CK96" s="54">
        <v>550308</v>
      </c>
      <c r="CL96" s="54">
        <v>764398</v>
      </c>
      <c r="CM96" s="54">
        <v>287.05200000000002</v>
      </c>
      <c r="CN96" s="54">
        <v>1.35951</v>
      </c>
      <c r="CO96" s="54">
        <v>1085.51</v>
      </c>
      <c r="CP96" s="54">
        <v>539.54100000000005</v>
      </c>
      <c r="CQ96" s="54">
        <v>6565.77</v>
      </c>
      <c r="CR96" s="54">
        <v>539.54100000000005</v>
      </c>
      <c r="CS96" s="54">
        <v>1</v>
      </c>
      <c r="CT96" s="54">
        <v>3608.28</v>
      </c>
      <c r="CU96" s="54">
        <v>89.880700000000004</v>
      </c>
      <c r="CV96" s="54">
        <v>0.139849</v>
      </c>
      <c r="CW96" s="54">
        <v>64701.8</v>
      </c>
      <c r="CX96" s="54">
        <v>90503</v>
      </c>
      <c r="CY96" s="54">
        <v>287.06099999999998</v>
      </c>
      <c r="CZ96" s="54">
        <v>1.3905400000000001</v>
      </c>
      <c r="DA96" s="54">
        <v>1022.11</v>
      </c>
      <c r="DB96" s="54">
        <v>189.386</v>
      </c>
      <c r="DC96" s="54">
        <v>6565.77</v>
      </c>
      <c r="DD96" s="54">
        <v>1280.19</v>
      </c>
      <c r="DE96" s="54">
        <v>6.7597100000000001</v>
      </c>
      <c r="DF96" s="57">
        <f t="shared" si="44"/>
        <v>28891347.79353432</v>
      </c>
      <c r="DG96" s="57">
        <f t="shared" si="45"/>
        <v>909946.21805000002</v>
      </c>
      <c r="DH96" s="58"/>
      <c r="DJ96" s="54" t="s">
        <v>168</v>
      </c>
      <c r="DK96" s="54">
        <v>1420</v>
      </c>
      <c r="DL96" s="59">
        <f t="shared" si="42"/>
        <v>1890.4</v>
      </c>
      <c r="DM96" s="59">
        <f t="shared" si="43"/>
        <v>4925.8</v>
      </c>
      <c r="DU96" s="2">
        <v>5.9179945199999997</v>
      </c>
      <c r="DV96" s="2">
        <f t="shared" si="32"/>
        <v>0.24360559666723999</v>
      </c>
      <c r="DW96" s="2">
        <f t="shared" si="33"/>
        <v>113.92716946074101</v>
      </c>
      <c r="DX96" s="2">
        <f t="shared" si="34"/>
        <v>213.22017826599986</v>
      </c>
      <c r="DY96" s="2">
        <f t="shared" si="35"/>
        <v>1261.8358465316103</v>
      </c>
      <c r="DZ96" s="19">
        <f t="shared" si="36"/>
        <v>38921228.705949768</v>
      </c>
      <c r="EA96" s="2">
        <v>5.7739619199999996</v>
      </c>
      <c r="EB96" s="2">
        <f t="shared" si="37"/>
        <v>0.25813041170154</v>
      </c>
      <c r="EC96" s="2">
        <f t="shared" si="38"/>
        <v>118.94738315587402</v>
      </c>
      <c r="ED96" s="2">
        <f t="shared" si="39"/>
        <v>217.86732163401692</v>
      </c>
      <c r="EE96" s="2">
        <f t="shared" si="40"/>
        <v>1257.9576187272057</v>
      </c>
      <c r="EF96" s="19">
        <f t="shared" si="41"/>
        <v>39400050.646959044</v>
      </c>
    </row>
    <row r="97" spans="1:136" s="54" customFormat="1">
      <c r="A97" s="53">
        <v>95</v>
      </c>
      <c r="B97" s="54" t="s">
        <v>247</v>
      </c>
      <c r="C97" s="54">
        <v>250430</v>
      </c>
      <c r="D97" s="54" t="s">
        <v>174</v>
      </c>
      <c r="E97" s="54" t="s">
        <v>272</v>
      </c>
      <c r="F97" s="54">
        <v>6.76</v>
      </c>
      <c r="G97" s="54">
        <v>1010.9</v>
      </c>
      <c r="H97" s="54">
        <v>21.1</v>
      </c>
      <c r="I97" s="54">
        <v>34.4</v>
      </c>
      <c r="J97" s="54" t="s">
        <v>151</v>
      </c>
      <c r="K97" s="54">
        <v>238.8</v>
      </c>
      <c r="L97" s="54" t="s">
        <v>264</v>
      </c>
      <c r="M97" s="54" t="s">
        <v>153</v>
      </c>
      <c r="N97" s="54" t="s">
        <v>154</v>
      </c>
      <c r="O97" s="54">
        <v>2.42</v>
      </c>
      <c r="P97" s="54">
        <v>23.4</v>
      </c>
      <c r="Q97" s="54">
        <v>0.83</v>
      </c>
      <c r="R97" s="54">
        <v>2500000</v>
      </c>
      <c r="S97" s="54" t="s">
        <v>155</v>
      </c>
      <c r="T97" s="54" t="s">
        <v>274</v>
      </c>
      <c r="U97" s="54" t="s">
        <v>157</v>
      </c>
      <c r="V97" s="54">
        <v>1500000</v>
      </c>
      <c r="W97" s="54">
        <v>1280</v>
      </c>
      <c r="X97" s="54">
        <v>32</v>
      </c>
      <c r="Y97" s="54" t="s">
        <v>158</v>
      </c>
      <c r="Z97" s="54">
        <v>9.5000000000000001E-2</v>
      </c>
      <c r="AA97" s="54">
        <v>3.424435275</v>
      </c>
      <c r="AB97" s="55">
        <v>23.337916</v>
      </c>
      <c r="AC97" s="54">
        <v>63.424969220000001</v>
      </c>
      <c r="AD97" s="54">
        <v>2.396069E-2</v>
      </c>
      <c r="AE97" s="54">
        <v>32.203513540000003</v>
      </c>
      <c r="AF97" s="54">
        <v>67.735407289999998</v>
      </c>
      <c r="AG97" s="54">
        <v>2.5068078630000001</v>
      </c>
      <c r="AH97" s="54">
        <v>2.1263999999999998</v>
      </c>
      <c r="AI97" s="54">
        <v>732.70808910000005</v>
      </c>
      <c r="AJ97" s="54">
        <v>1.1315999999999999</v>
      </c>
      <c r="AK97" s="54">
        <v>0.31759999999999999</v>
      </c>
      <c r="AL97" s="54">
        <v>342444</v>
      </c>
      <c r="AM97" s="54">
        <v>296.488</v>
      </c>
      <c r="AN97" s="54">
        <v>4.0236000000000001</v>
      </c>
      <c r="AO97" s="54">
        <v>213431</v>
      </c>
      <c r="AP97" s="54">
        <v>298540</v>
      </c>
      <c r="AQ97" s="54">
        <v>287.05700000000002</v>
      </c>
      <c r="AR97" s="54">
        <v>1.39053</v>
      </c>
      <c r="AS97" s="54">
        <v>1022.1</v>
      </c>
      <c r="AT97" s="54">
        <v>343.96800000000002</v>
      </c>
      <c r="AU97" s="54">
        <v>6494.98</v>
      </c>
      <c r="AV97" s="54">
        <v>0</v>
      </c>
      <c r="AW97" s="54">
        <v>0</v>
      </c>
      <c r="AX97" s="54">
        <v>1747980</v>
      </c>
      <c r="AY97" s="54">
        <v>528.678</v>
      </c>
      <c r="AZ97" s="54">
        <v>11.5183</v>
      </c>
      <c r="BA97" s="54">
        <v>382458</v>
      </c>
      <c r="BB97" s="54">
        <v>534215</v>
      </c>
      <c r="BC97" s="54">
        <v>287.04899999999998</v>
      </c>
      <c r="BD97" s="54">
        <v>1.38334</v>
      </c>
      <c r="BE97" s="54">
        <v>1035.8599999999999</v>
      </c>
      <c r="BF97" s="54">
        <v>458.20100000000002</v>
      </c>
      <c r="BG97" s="54">
        <v>6624.53</v>
      </c>
      <c r="BH97" s="54">
        <v>255.95</v>
      </c>
      <c r="BI97" s="54">
        <v>0.55859764601124795</v>
      </c>
      <c r="BJ97" s="54">
        <v>6237930</v>
      </c>
      <c r="BK97" s="54">
        <v>788.18399999999997</v>
      </c>
      <c r="BL97" s="54">
        <v>27.571200000000001</v>
      </c>
      <c r="BM97" s="54">
        <v>584296</v>
      </c>
      <c r="BN97" s="54">
        <v>810544</v>
      </c>
      <c r="BO97" s="54">
        <v>287.05</v>
      </c>
      <c r="BP97" s="54">
        <v>1.355</v>
      </c>
      <c r="BQ97" s="54">
        <v>1095.6500000000001</v>
      </c>
      <c r="BR97" s="54">
        <v>553.69899999999996</v>
      </c>
      <c r="BS97" s="54">
        <v>6683.83</v>
      </c>
      <c r="BT97" s="54">
        <v>0</v>
      </c>
      <c r="BU97" s="54">
        <v>0</v>
      </c>
      <c r="BV97" s="54">
        <v>6773540</v>
      </c>
      <c r="BW97" s="54">
        <v>805.32799999999997</v>
      </c>
      <c r="BX97" s="54">
        <v>29.301200000000001</v>
      </c>
      <c r="BY97" s="54">
        <v>598144</v>
      </c>
      <c r="BZ97" s="54">
        <v>829314</v>
      </c>
      <c r="CA97" s="54">
        <v>287.05</v>
      </c>
      <c r="CB97" s="54">
        <v>1.3531899999999999</v>
      </c>
      <c r="CC97" s="54">
        <v>1099.78</v>
      </c>
      <c r="CD97" s="54">
        <v>559.29600000000005</v>
      </c>
      <c r="CE97" s="54">
        <v>6683.83</v>
      </c>
      <c r="CF97" s="54">
        <v>0</v>
      </c>
      <c r="CG97" s="54">
        <v>0</v>
      </c>
      <c r="CH97" s="54">
        <v>3615030</v>
      </c>
      <c r="CI97" s="54">
        <v>682.06600000000003</v>
      </c>
      <c r="CJ97" s="54">
        <v>18.464099999999998</v>
      </c>
      <c r="CK97" s="54">
        <v>499738</v>
      </c>
      <c r="CL97" s="54">
        <v>695526</v>
      </c>
      <c r="CM97" s="54">
        <v>287.05099999999999</v>
      </c>
      <c r="CN97" s="54">
        <v>1.36643</v>
      </c>
      <c r="CO97" s="54">
        <v>1070.43</v>
      </c>
      <c r="CP97" s="54">
        <v>517.27800000000002</v>
      </c>
      <c r="CQ97" s="54">
        <v>6683.83</v>
      </c>
      <c r="CR97" s="54">
        <v>517.27700000000004</v>
      </c>
      <c r="CS97" s="54">
        <v>0.99999806680353698</v>
      </c>
      <c r="CT97" s="54">
        <v>1718.15</v>
      </c>
      <c r="CU97" s="54">
        <v>81.899500000000003</v>
      </c>
      <c r="CV97" s="54">
        <v>7.3081999999999994E-2</v>
      </c>
      <c r="CW97" s="54">
        <v>58956.4</v>
      </c>
      <c r="CX97" s="54">
        <v>82466.3</v>
      </c>
      <c r="CY97" s="54">
        <v>287.05799999999999</v>
      </c>
      <c r="CZ97" s="54">
        <v>1.39053</v>
      </c>
      <c r="DA97" s="54">
        <v>1022.1</v>
      </c>
      <c r="DB97" s="54">
        <v>180.78200000000001</v>
      </c>
      <c r="DC97" s="54">
        <v>6683.83</v>
      </c>
      <c r="DD97" s="54">
        <v>1222.17</v>
      </c>
      <c r="DE97" s="54">
        <v>6.76044</v>
      </c>
      <c r="DF97" s="57">
        <f t="shared" si="44"/>
        <v>15912804.680625997</v>
      </c>
      <c r="DG97" s="57">
        <f t="shared" si="45"/>
        <v>829316.05445000017</v>
      </c>
      <c r="DH97" s="58"/>
      <c r="DJ97" s="54" t="s">
        <v>168</v>
      </c>
      <c r="DK97" s="54">
        <v>2131</v>
      </c>
      <c r="DL97" s="59">
        <f t="shared" si="42"/>
        <v>2607.4</v>
      </c>
      <c r="DM97" s="59">
        <f t="shared" si="43"/>
        <v>5797</v>
      </c>
      <c r="DU97" s="2">
        <v>5.9179945199999997</v>
      </c>
      <c r="DV97" s="2">
        <f t="shared" si="32"/>
        <v>0.12730290681831999</v>
      </c>
      <c r="DW97" s="2">
        <f t="shared" si="33"/>
        <v>103.81069812818501</v>
      </c>
      <c r="DX97" s="2">
        <f t="shared" si="34"/>
        <v>203.53336713000957</v>
      </c>
      <c r="DY97" s="2">
        <f t="shared" si="35"/>
        <v>1204.5093513125446</v>
      </c>
      <c r="DZ97" s="19">
        <f t="shared" si="36"/>
        <v>21317520.933423985</v>
      </c>
      <c r="EA97" s="2">
        <v>5.7739619199999996</v>
      </c>
      <c r="EB97" s="2">
        <f t="shared" si="37"/>
        <v>0.13489325449571998</v>
      </c>
      <c r="EC97" s="2">
        <f t="shared" si="38"/>
        <v>108.38512836209001</v>
      </c>
      <c r="ED97" s="2">
        <f t="shared" si="39"/>
        <v>207.96938601396539</v>
      </c>
      <c r="EE97" s="2">
        <f t="shared" si="40"/>
        <v>1200.8073153704167</v>
      </c>
      <c r="EF97" s="19">
        <f t="shared" si="41"/>
        <v>21558158.488055911</v>
      </c>
    </row>
    <row r="98" spans="1:136" s="54" customFormat="1">
      <c r="A98" s="53">
        <v>96</v>
      </c>
      <c r="B98" s="54" t="s">
        <v>247</v>
      </c>
      <c r="C98" s="54">
        <v>250430</v>
      </c>
      <c r="D98" s="54" t="s">
        <v>174</v>
      </c>
      <c r="E98" s="54" t="s">
        <v>268</v>
      </c>
      <c r="F98" s="54">
        <v>6.76</v>
      </c>
      <c r="G98" s="54">
        <v>1011.2</v>
      </c>
      <c r="H98" s="54">
        <v>21.1</v>
      </c>
      <c r="I98" s="54">
        <v>34.6</v>
      </c>
      <c r="J98" s="54" t="s">
        <v>151</v>
      </c>
      <c r="K98" s="54">
        <v>210.4</v>
      </c>
      <c r="L98" s="54" t="s">
        <v>282</v>
      </c>
      <c r="M98" s="54" t="s">
        <v>153</v>
      </c>
      <c r="N98" s="54" t="s">
        <v>154</v>
      </c>
      <c r="O98" s="54">
        <v>5</v>
      </c>
      <c r="P98" s="54">
        <v>22.8</v>
      </c>
      <c r="Q98" s="54">
        <v>0.8</v>
      </c>
      <c r="R98" s="54">
        <v>2500000</v>
      </c>
      <c r="S98" s="54" t="s">
        <v>155</v>
      </c>
      <c r="T98" s="54" t="s">
        <v>274</v>
      </c>
      <c r="U98" s="54" t="s">
        <v>157</v>
      </c>
      <c r="V98" s="54">
        <v>1500000</v>
      </c>
      <c r="W98" s="54">
        <v>1280</v>
      </c>
      <c r="X98" s="54">
        <v>32</v>
      </c>
      <c r="Y98" s="54" t="s">
        <v>158</v>
      </c>
      <c r="Z98" s="54">
        <v>9.5000000000000001E-2</v>
      </c>
      <c r="AA98" s="54">
        <v>6.0015830320000001</v>
      </c>
      <c r="AB98" s="55">
        <v>22.936456</v>
      </c>
      <c r="AC98" s="54">
        <v>126.67576029999999</v>
      </c>
      <c r="AD98" s="54">
        <v>5.5525549999999998E-3</v>
      </c>
      <c r="AE98" s="54">
        <v>32.873048009999998</v>
      </c>
      <c r="AF98" s="54">
        <v>142.98184520000001</v>
      </c>
      <c r="AG98" s="54">
        <v>6.0110881210000002</v>
      </c>
      <c r="AH98" s="54">
        <v>2.1183999999999998</v>
      </c>
      <c r="AI98" s="54">
        <v>785.17587939999999</v>
      </c>
      <c r="AJ98" s="54">
        <v>1.0036</v>
      </c>
      <c r="AK98" s="54">
        <v>0.314</v>
      </c>
      <c r="AL98" s="54">
        <v>600158</v>
      </c>
      <c r="AM98" s="54">
        <v>296.08600000000001</v>
      </c>
      <c r="AN98" s="54">
        <v>7.0610400000000002</v>
      </c>
      <c r="AO98" s="54">
        <v>213142</v>
      </c>
      <c r="AP98" s="54">
        <v>298137</v>
      </c>
      <c r="AQ98" s="54">
        <v>287.06400000000002</v>
      </c>
      <c r="AR98" s="54">
        <v>1.3905400000000001</v>
      </c>
      <c r="AS98" s="54">
        <v>1022.11</v>
      </c>
      <c r="AT98" s="54">
        <v>343.73599999999999</v>
      </c>
      <c r="AU98" s="54">
        <v>6332.48</v>
      </c>
      <c r="AV98" s="54">
        <v>0</v>
      </c>
      <c r="AW98" s="54">
        <v>0</v>
      </c>
      <c r="AX98" s="54">
        <v>3541080</v>
      </c>
      <c r="AY98" s="54">
        <v>566.76599999999996</v>
      </c>
      <c r="AZ98" s="54">
        <v>21.765499999999999</v>
      </c>
      <c r="BA98" s="54">
        <v>411254</v>
      </c>
      <c r="BB98" s="54">
        <v>573946</v>
      </c>
      <c r="BC98" s="54">
        <v>287.053</v>
      </c>
      <c r="BD98" s="54">
        <v>1.37906</v>
      </c>
      <c r="BE98" s="54">
        <v>1044.3399999999999</v>
      </c>
      <c r="BF98" s="54">
        <v>473.709</v>
      </c>
      <c r="BG98" s="54">
        <v>6494.2</v>
      </c>
      <c r="BH98" s="54">
        <v>254.72200000000001</v>
      </c>
      <c r="BI98" s="54">
        <v>0.53771830385320896</v>
      </c>
      <c r="BJ98" s="54">
        <v>13682400</v>
      </c>
      <c r="BK98" s="54">
        <v>868.57600000000002</v>
      </c>
      <c r="BL98" s="54">
        <v>54.8782</v>
      </c>
      <c r="BM98" s="54">
        <v>649989</v>
      </c>
      <c r="BN98" s="54">
        <v>899313</v>
      </c>
      <c r="BO98" s="54">
        <v>287.048</v>
      </c>
      <c r="BP98" s="54">
        <v>1.3472999999999999</v>
      </c>
      <c r="BQ98" s="54">
        <v>1113.57</v>
      </c>
      <c r="BR98" s="54">
        <v>579.55700000000002</v>
      </c>
      <c r="BS98" s="54">
        <v>6565.69</v>
      </c>
      <c r="BT98" s="54">
        <v>0</v>
      </c>
      <c r="BU98" s="54">
        <v>0</v>
      </c>
      <c r="BV98" s="54">
        <v>14298200</v>
      </c>
      <c r="BW98" s="54">
        <v>878.48599999999999</v>
      </c>
      <c r="BX98" s="54">
        <v>56.700899999999997</v>
      </c>
      <c r="BY98" s="54">
        <v>658201</v>
      </c>
      <c r="BZ98" s="54">
        <v>910370</v>
      </c>
      <c r="CA98" s="54">
        <v>287.04899999999998</v>
      </c>
      <c r="CB98" s="54">
        <v>1.34643</v>
      </c>
      <c r="CC98" s="54">
        <v>1115.6500000000001</v>
      </c>
      <c r="CD98" s="54">
        <v>582.66399999999999</v>
      </c>
      <c r="CE98" s="54">
        <v>6565.69</v>
      </c>
      <c r="CF98" s="54">
        <v>0</v>
      </c>
      <c r="CG98" s="54">
        <v>0</v>
      </c>
      <c r="CH98" s="54">
        <v>7643320</v>
      </c>
      <c r="CI98" s="54">
        <v>746.15700000000004</v>
      </c>
      <c r="CJ98" s="54">
        <v>35.685499999999998</v>
      </c>
      <c r="CK98" s="54">
        <v>550571</v>
      </c>
      <c r="CL98" s="54">
        <v>764757</v>
      </c>
      <c r="CM98" s="54">
        <v>287.05200000000002</v>
      </c>
      <c r="CN98" s="54">
        <v>1.35947</v>
      </c>
      <c r="CO98" s="54">
        <v>1085.5899999999999</v>
      </c>
      <c r="CP98" s="54">
        <v>539.654</v>
      </c>
      <c r="CQ98" s="54">
        <v>6565.69</v>
      </c>
      <c r="CR98" s="54">
        <v>539.65300000000002</v>
      </c>
      <c r="CS98" s="54">
        <v>0.99999814696083</v>
      </c>
      <c r="CT98" s="54">
        <v>3615.25</v>
      </c>
      <c r="CU98" s="54">
        <v>89.921899999999994</v>
      </c>
      <c r="CV98" s="54">
        <v>0.14005500000000001</v>
      </c>
      <c r="CW98" s="54">
        <v>64731.4</v>
      </c>
      <c r="CX98" s="54">
        <v>90544.5</v>
      </c>
      <c r="CY98" s="54">
        <v>287.06099999999998</v>
      </c>
      <c r="CZ98" s="54">
        <v>1.3905400000000001</v>
      </c>
      <c r="DA98" s="54">
        <v>1022.11</v>
      </c>
      <c r="DB98" s="54">
        <v>189.429</v>
      </c>
      <c r="DC98" s="54">
        <v>6565.69</v>
      </c>
      <c r="DD98" s="54">
        <v>1280.49</v>
      </c>
      <c r="DE98" s="54">
        <v>6.7597199999999997</v>
      </c>
      <c r="DF98" s="57">
        <f t="shared" si="44"/>
        <v>28926729.606055308</v>
      </c>
      <c r="DG98" s="57">
        <f t="shared" si="45"/>
        <v>910371.82004999998</v>
      </c>
      <c r="DH98" s="58"/>
      <c r="DJ98" s="54" t="s">
        <v>168</v>
      </c>
      <c r="DK98" s="54">
        <v>1888</v>
      </c>
      <c r="DL98" s="59">
        <f t="shared" si="42"/>
        <v>2359</v>
      </c>
      <c r="DM98" s="59">
        <f t="shared" si="43"/>
        <v>5536.6</v>
      </c>
      <c r="DU98" s="2">
        <v>5.9179945199999997</v>
      </c>
      <c r="DV98" s="2">
        <f t="shared" si="32"/>
        <v>0.24396443193180001</v>
      </c>
      <c r="DW98" s="2">
        <f t="shared" si="33"/>
        <v>113.979392011097</v>
      </c>
      <c r="DX98" s="2">
        <f t="shared" si="34"/>
        <v>213.26858980468509</v>
      </c>
      <c r="DY98" s="2">
        <f t="shared" si="35"/>
        <v>1262.1223457522542</v>
      </c>
      <c r="DZ98" s="19">
        <f t="shared" si="36"/>
        <v>38969664.572363146</v>
      </c>
      <c r="EA98" s="2">
        <v>5.7739619199999996</v>
      </c>
      <c r="EB98" s="2">
        <f t="shared" si="37"/>
        <v>0.25851064227030002</v>
      </c>
      <c r="EC98" s="2">
        <f t="shared" si="38"/>
        <v>119.001906898858</v>
      </c>
      <c r="ED98" s="2">
        <f t="shared" si="39"/>
        <v>217.91678830436354</v>
      </c>
      <c r="EE98" s="2">
        <f t="shared" si="40"/>
        <v>1258.2432373980964</v>
      </c>
      <c r="EF98" s="19">
        <f t="shared" si="41"/>
        <v>39449277.166344032</v>
      </c>
    </row>
    <row r="99" spans="1:136">
      <c r="A99" s="9">
        <v>97</v>
      </c>
      <c r="B99" s="2" t="s">
        <v>283</v>
      </c>
      <c r="C99" s="2">
        <v>250502</v>
      </c>
      <c r="D99" s="54" t="s">
        <v>174</v>
      </c>
      <c r="E99" s="2" t="s">
        <v>284</v>
      </c>
      <c r="F99" s="54">
        <v>6.76</v>
      </c>
      <c r="G99" s="2">
        <v>1010.8</v>
      </c>
      <c r="H99" s="2">
        <v>19.3</v>
      </c>
      <c r="I99" s="2">
        <v>44.1</v>
      </c>
      <c r="J99" s="54" t="s">
        <v>151</v>
      </c>
      <c r="K99" s="2">
        <v>200</v>
      </c>
      <c r="L99" s="2" t="s">
        <v>262</v>
      </c>
      <c r="M99" s="54" t="s">
        <v>153</v>
      </c>
      <c r="N99" s="54" t="s">
        <v>154</v>
      </c>
      <c r="O99" s="2">
        <v>0.22</v>
      </c>
      <c r="P99" s="2">
        <v>20.3</v>
      </c>
      <c r="Q99" s="2">
        <v>0.87</v>
      </c>
      <c r="R99" s="54">
        <v>2500000</v>
      </c>
      <c r="S99" s="54" t="s">
        <v>155</v>
      </c>
      <c r="T99" s="54" t="s">
        <v>274</v>
      </c>
      <c r="U99" s="54" t="s">
        <v>157</v>
      </c>
      <c r="V99" s="54">
        <v>1500000</v>
      </c>
      <c r="W99" s="54">
        <v>1280</v>
      </c>
      <c r="X99" s="54">
        <v>32</v>
      </c>
      <c r="Y99" s="54" t="s">
        <v>158</v>
      </c>
      <c r="Z99" s="54">
        <v>9.5000000000000001E-2</v>
      </c>
      <c r="AA99" s="17">
        <v>1.22422570144</v>
      </c>
      <c r="AB99" s="17">
        <v>20.343879999999999</v>
      </c>
      <c r="AC99" s="17">
        <v>72.791836056637393</v>
      </c>
      <c r="AD99" s="17">
        <v>8.0719604123443995E-3</v>
      </c>
      <c r="AE99" s="17">
        <v>27.014232952322999</v>
      </c>
      <c r="AF99" s="17">
        <v>58.994808989841403</v>
      </c>
      <c r="AG99" s="17">
        <v>1.7807815638932001</v>
      </c>
      <c r="AH99" s="17">
        <v>2.6463999999999999</v>
      </c>
      <c r="AI99" s="17">
        <v>965.99690880989203</v>
      </c>
      <c r="AJ99" s="17">
        <v>0.96399999999999997</v>
      </c>
      <c r="AK99" s="17">
        <v>0.31080000000000002</v>
      </c>
      <c r="AL99" s="17">
        <v>122422</v>
      </c>
      <c r="AM99" s="17">
        <v>293.49400000000003</v>
      </c>
      <c r="AN99" s="17">
        <v>1.4531099999999999</v>
      </c>
      <c r="AO99" s="17">
        <v>211275</v>
      </c>
      <c r="AP99" s="17">
        <v>295524</v>
      </c>
      <c r="AQ99" s="17">
        <v>287.05500000000001</v>
      </c>
      <c r="AR99" s="17">
        <v>1.39053</v>
      </c>
      <c r="AS99" s="17">
        <v>1022.1</v>
      </c>
      <c r="AT99" s="17">
        <v>342.226</v>
      </c>
      <c r="AU99" s="17">
        <v>6779.6</v>
      </c>
      <c r="AV99" s="17">
        <v>0</v>
      </c>
      <c r="AW99" s="17">
        <v>0</v>
      </c>
      <c r="AX99" s="17">
        <v>1117410</v>
      </c>
      <c r="AY99" s="17">
        <v>713.16899999999998</v>
      </c>
      <c r="AZ99" s="17">
        <v>5.4583599999999999</v>
      </c>
      <c r="BA99" s="17">
        <v>524317</v>
      </c>
      <c r="BB99" s="17">
        <v>729032</v>
      </c>
      <c r="BC99" s="17">
        <v>287.05</v>
      </c>
      <c r="BD99" s="17">
        <v>1.36303</v>
      </c>
      <c r="BE99" s="17">
        <v>1077.76</v>
      </c>
      <c r="BF99" s="17">
        <v>528.28800000000001</v>
      </c>
      <c r="BG99" s="17">
        <v>7068.75</v>
      </c>
      <c r="BH99" s="17">
        <v>257.16500000000002</v>
      </c>
      <c r="BI99" s="17">
        <v>0.48678940275001498</v>
      </c>
      <c r="BJ99" s="17">
        <v>5307960</v>
      </c>
      <c r="BK99" s="17">
        <v>1170.98</v>
      </c>
      <c r="BL99" s="17">
        <v>15.791399999999999</v>
      </c>
      <c r="BM99" s="17">
        <v>909454</v>
      </c>
      <c r="BN99" s="17">
        <v>1245580</v>
      </c>
      <c r="BO99" s="17">
        <v>287.048</v>
      </c>
      <c r="BP99" s="17">
        <v>1.3251900000000001</v>
      </c>
      <c r="BQ99" s="17">
        <v>1169.76</v>
      </c>
      <c r="BR99" s="17">
        <v>667.01900000000001</v>
      </c>
      <c r="BS99" s="17">
        <v>7179.19</v>
      </c>
      <c r="BT99" s="17">
        <v>0</v>
      </c>
      <c r="BU99" s="17">
        <v>0</v>
      </c>
      <c r="BV99" s="17">
        <v>5899480</v>
      </c>
      <c r="BW99" s="17">
        <v>1201.55</v>
      </c>
      <c r="BX99" s="17">
        <v>17.104800000000001</v>
      </c>
      <c r="BY99" s="17">
        <v>936647</v>
      </c>
      <c r="BZ99" s="17">
        <v>1281550</v>
      </c>
      <c r="CA99" s="17">
        <v>287.048</v>
      </c>
      <c r="CB99" s="17">
        <v>1.3235300000000001</v>
      </c>
      <c r="CC99" s="17">
        <v>1174.28</v>
      </c>
      <c r="CD99" s="17">
        <v>675.18</v>
      </c>
      <c r="CE99" s="17">
        <v>7179.19</v>
      </c>
      <c r="CF99" s="17">
        <v>0</v>
      </c>
      <c r="CG99" s="17">
        <v>0</v>
      </c>
      <c r="CH99" s="17">
        <v>3182660</v>
      </c>
      <c r="CI99" s="17">
        <v>1031.9000000000001</v>
      </c>
      <c r="CJ99" s="17">
        <v>10.7448</v>
      </c>
      <c r="CK99" s="17">
        <v>787861</v>
      </c>
      <c r="CL99" s="17">
        <v>1084070</v>
      </c>
      <c r="CM99" s="17">
        <v>287.048</v>
      </c>
      <c r="CN99" s="17">
        <v>1.3340700000000001</v>
      </c>
      <c r="CO99" s="17">
        <v>1146.29</v>
      </c>
      <c r="CP99" s="17">
        <v>628.46500000000003</v>
      </c>
      <c r="CQ99" s="17">
        <v>7179.19</v>
      </c>
      <c r="CR99" s="17">
        <v>628.46400000000006</v>
      </c>
      <c r="CS99" s="17">
        <v>0.99999840882149404</v>
      </c>
      <c r="CT99" s="17">
        <v>1472.5</v>
      </c>
      <c r="CU99" s="17">
        <v>126.58199999999999</v>
      </c>
      <c r="CV99" s="17">
        <v>4.0527100000000003E-2</v>
      </c>
      <c r="CW99" s="17">
        <v>91121.5</v>
      </c>
      <c r="CX99" s="17">
        <v>127455</v>
      </c>
      <c r="CY99" s="17">
        <v>287.03699999999998</v>
      </c>
      <c r="CZ99" s="17">
        <v>1.3905000000000001</v>
      </c>
      <c r="DA99" s="17">
        <v>1022.08</v>
      </c>
      <c r="DB99" s="17">
        <v>224.75</v>
      </c>
      <c r="DC99" s="17">
        <v>7179.19</v>
      </c>
      <c r="DD99" s="17">
        <v>1519.27</v>
      </c>
      <c r="DE99" s="17">
        <v>6.7598200000000004</v>
      </c>
      <c r="DF99" s="57">
        <f t="shared" si="44"/>
        <v>7031234.08821835</v>
      </c>
      <c r="DG99" s="57">
        <f t="shared" si="45"/>
        <v>1281545.6664499999</v>
      </c>
      <c r="DJ99" s="54" t="s">
        <v>168</v>
      </c>
      <c r="DK99" s="2">
        <v>2020</v>
      </c>
      <c r="DL99" s="59">
        <f t="shared" si="42"/>
        <v>2486.1999999999998</v>
      </c>
      <c r="DM99" s="59">
        <f t="shared" si="43"/>
        <v>6455.7999999999993</v>
      </c>
      <c r="DU99" s="2">
        <v>5.9179945199999997</v>
      </c>
      <c r="DV99" s="2">
        <f t="shared" si="32"/>
        <v>7.0594915778396009E-2</v>
      </c>
      <c r="DW99" s="2">
        <f t="shared" si="33"/>
        <v>160.44744828066001</v>
      </c>
      <c r="DX99" s="2">
        <f t="shared" si="34"/>
        <v>253.0347283605096</v>
      </c>
      <c r="DY99" s="2">
        <f t="shared" si="35"/>
        <v>1497.4581358071844</v>
      </c>
      <c r="DZ99" s="19">
        <f t="shared" si="36"/>
        <v>9665183.8259560466</v>
      </c>
      <c r="EA99" s="2">
        <v>5.7739619199999996</v>
      </c>
      <c r="EB99" s="2">
        <f t="shared" si="37"/>
        <v>7.4804088753365999E-2</v>
      </c>
      <c r="EC99" s="2">
        <f t="shared" si="38"/>
        <v>167.51758335924001</v>
      </c>
      <c r="ED99" s="2">
        <f t="shared" si="39"/>
        <v>258.54963163721345</v>
      </c>
      <c r="EE99" s="2">
        <f t="shared" si="40"/>
        <v>1492.8557275032977</v>
      </c>
      <c r="EF99" s="19">
        <f t="shared" si="41"/>
        <v>9819755.1193713732</v>
      </c>
    </row>
    <row r="100" spans="1:136">
      <c r="A100" s="1">
        <v>98</v>
      </c>
      <c r="B100" s="2" t="s">
        <v>283</v>
      </c>
      <c r="C100" s="2">
        <v>250502</v>
      </c>
      <c r="D100" s="2" t="s">
        <v>285</v>
      </c>
      <c r="E100" s="2" t="s">
        <v>286</v>
      </c>
      <c r="F100" s="54">
        <v>6.76</v>
      </c>
      <c r="G100" s="2">
        <v>1010.3</v>
      </c>
      <c r="H100" s="2">
        <v>19.7</v>
      </c>
      <c r="I100" s="2">
        <v>42.9</v>
      </c>
      <c r="J100" s="54" t="s">
        <v>151</v>
      </c>
      <c r="K100" s="2">
        <v>195</v>
      </c>
      <c r="L100" s="54" t="s">
        <v>287</v>
      </c>
      <c r="M100" s="54" t="s">
        <v>153</v>
      </c>
      <c r="N100" s="2" t="s">
        <v>267</v>
      </c>
      <c r="O100" s="2">
        <v>0</v>
      </c>
      <c r="P100" s="2">
        <v>20.8</v>
      </c>
      <c r="Q100" s="2">
        <v>0.86</v>
      </c>
      <c r="R100" s="54">
        <v>2500000</v>
      </c>
      <c r="S100" s="54" t="s">
        <v>155</v>
      </c>
      <c r="T100" s="2" t="s">
        <v>288</v>
      </c>
      <c r="U100" s="54" t="s">
        <v>157</v>
      </c>
      <c r="V100" s="2">
        <v>65000</v>
      </c>
      <c r="W100" s="2">
        <v>1280</v>
      </c>
      <c r="X100" s="2">
        <v>800</v>
      </c>
      <c r="Y100" s="2">
        <v>200</v>
      </c>
      <c r="Z100" s="2">
        <v>1</v>
      </c>
      <c r="AA100" s="17">
        <v>1.0107268297600001</v>
      </c>
      <c r="AB100" s="17">
        <v>20.918223999999999</v>
      </c>
      <c r="AC100" s="17">
        <v>118.470590970035</v>
      </c>
      <c r="AD100" s="17">
        <v>2.20156417987614E-2</v>
      </c>
      <c r="AE100" s="17">
        <v>27.933671599525599</v>
      </c>
      <c r="AF100" s="17">
        <v>114.891687631588</v>
      </c>
      <c r="AG100" s="17">
        <v>9.2003127722741702</v>
      </c>
      <c r="AH100" s="17">
        <v>0.59</v>
      </c>
      <c r="AI100" s="17">
        <v>1001.60256410256</v>
      </c>
      <c r="AJ100" s="17">
        <v>-8.2444000000000006</v>
      </c>
      <c r="AK100" s="17">
        <v>0.31240000000000001</v>
      </c>
      <c r="AL100" s="2"/>
      <c r="AM100" s="2"/>
      <c r="AN100" s="2"/>
      <c r="DF100" s="57"/>
      <c r="DG100" s="57"/>
      <c r="DU100" s="2">
        <v>5.9179945199999997</v>
      </c>
      <c r="DV100" s="2">
        <f t="shared" si="32"/>
        <v>0</v>
      </c>
      <c r="DW100" s="2">
        <f t="shared" si="33"/>
        <v>0</v>
      </c>
      <c r="DX100" s="2">
        <f t="shared" si="34"/>
        <v>0</v>
      </c>
      <c r="DY100" s="2">
        <f t="shared" si="35"/>
        <v>0</v>
      </c>
      <c r="DZ100" s="19" t="e">
        <f t="shared" si="36"/>
        <v>#DIV/0!</v>
      </c>
      <c r="EA100" s="2">
        <v>5.7739619199999996</v>
      </c>
      <c r="EB100" s="2">
        <f t="shared" si="37"/>
        <v>0</v>
      </c>
      <c r="EC100" s="2">
        <f t="shared" si="38"/>
        <v>0</v>
      </c>
      <c r="ED100" s="2">
        <f t="shared" si="39"/>
        <v>0</v>
      </c>
      <c r="EE100" s="2">
        <f t="shared" si="40"/>
        <v>0</v>
      </c>
      <c r="EF100" s="19" t="e">
        <f t="shared" si="41"/>
        <v>#DIV/0!</v>
      </c>
    </row>
    <row r="101" spans="1:136">
      <c r="A101" s="1">
        <v>99</v>
      </c>
      <c r="B101" s="2" t="s">
        <v>289</v>
      </c>
      <c r="C101" s="2">
        <v>250530</v>
      </c>
      <c r="D101" s="2" t="s">
        <v>285</v>
      </c>
      <c r="E101" s="2" t="s">
        <v>290</v>
      </c>
      <c r="F101" s="2">
        <v>6.76</v>
      </c>
      <c r="G101" s="2">
        <v>1011.6</v>
      </c>
      <c r="H101" s="2">
        <v>24.1</v>
      </c>
      <c r="I101" s="2">
        <v>46.8</v>
      </c>
      <c r="J101" s="54" t="s">
        <v>151</v>
      </c>
      <c r="K101" s="2">
        <v>208</v>
      </c>
      <c r="L101" s="2" t="s">
        <v>291</v>
      </c>
      <c r="M101" s="54" t="s">
        <v>153</v>
      </c>
      <c r="N101" s="54" t="s">
        <v>154</v>
      </c>
      <c r="O101" s="2">
        <v>0</v>
      </c>
      <c r="P101" s="2">
        <v>23.5</v>
      </c>
      <c r="Q101" s="2">
        <v>0.84</v>
      </c>
      <c r="R101" s="54">
        <v>2500000</v>
      </c>
      <c r="S101" s="54" t="s">
        <v>155</v>
      </c>
      <c r="T101" s="2" t="s">
        <v>288</v>
      </c>
      <c r="U101" s="54" t="s">
        <v>157</v>
      </c>
      <c r="V101" s="2">
        <v>65000</v>
      </c>
      <c r="W101" s="2">
        <v>1280</v>
      </c>
      <c r="X101" s="2">
        <v>800</v>
      </c>
      <c r="Y101" s="2">
        <v>200</v>
      </c>
      <c r="Z101" s="54">
        <v>1</v>
      </c>
      <c r="AL101" s="2"/>
      <c r="AM101" s="2"/>
      <c r="AN101" s="2"/>
      <c r="DF101" s="57"/>
      <c r="DG101" s="57"/>
      <c r="DU101" s="2">
        <v>5.9179945199999997</v>
      </c>
      <c r="DV101" s="2">
        <f t="shared" si="32"/>
        <v>0</v>
      </c>
      <c r="DW101" s="2">
        <f t="shared" si="33"/>
        <v>0</v>
      </c>
      <c r="DX101" s="2">
        <f t="shared" si="34"/>
        <v>0</v>
      </c>
      <c r="DY101" s="2">
        <f t="shared" si="35"/>
        <v>0</v>
      </c>
      <c r="DZ101" s="19" t="e">
        <f t="shared" si="36"/>
        <v>#DIV/0!</v>
      </c>
      <c r="EA101" s="2">
        <v>5.7739619199999996</v>
      </c>
      <c r="EB101" s="2">
        <f t="shared" si="37"/>
        <v>0</v>
      </c>
      <c r="EC101" s="2">
        <f t="shared" si="38"/>
        <v>0</v>
      </c>
      <c r="ED101" s="2">
        <f t="shared" si="39"/>
        <v>0</v>
      </c>
      <c r="EE101" s="2">
        <f t="shared" si="40"/>
        <v>0</v>
      </c>
      <c r="EF101" s="19" t="e">
        <f t="shared" si="41"/>
        <v>#DIV/0!</v>
      </c>
    </row>
    <row r="102" spans="1:136">
      <c r="A102" s="1">
        <v>100</v>
      </c>
      <c r="B102" s="2" t="s">
        <v>289</v>
      </c>
      <c r="C102" s="2">
        <v>250530</v>
      </c>
      <c r="D102" s="2" t="s">
        <v>184</v>
      </c>
      <c r="E102" s="2" t="s">
        <v>292</v>
      </c>
      <c r="F102" s="2">
        <v>6.76</v>
      </c>
      <c r="G102" s="2">
        <v>1010.6</v>
      </c>
      <c r="H102" s="2">
        <v>24.1</v>
      </c>
      <c r="I102" s="2">
        <v>45.6</v>
      </c>
      <c r="J102" s="54" t="s">
        <v>151</v>
      </c>
      <c r="K102" s="2">
        <v>251</v>
      </c>
      <c r="L102" s="54" t="s">
        <v>293</v>
      </c>
      <c r="M102" s="2" t="s">
        <v>153</v>
      </c>
      <c r="N102" s="2" t="s">
        <v>267</v>
      </c>
      <c r="O102" s="2">
        <v>0</v>
      </c>
      <c r="P102" s="2">
        <v>25.8</v>
      </c>
      <c r="Q102" s="2">
        <v>0.87</v>
      </c>
      <c r="R102" s="54">
        <v>2500000</v>
      </c>
      <c r="S102" s="54" t="s">
        <v>155</v>
      </c>
      <c r="T102" s="2" t="s">
        <v>288</v>
      </c>
      <c r="U102" s="54" t="s">
        <v>157</v>
      </c>
      <c r="V102" s="2">
        <v>65000</v>
      </c>
      <c r="W102" s="2">
        <v>1280</v>
      </c>
      <c r="X102" s="2">
        <v>800</v>
      </c>
      <c r="Y102" s="2">
        <v>200</v>
      </c>
      <c r="Z102" s="54">
        <v>2</v>
      </c>
      <c r="AA102" s="17">
        <v>1.0107268297600001</v>
      </c>
      <c r="AB102" s="17">
        <v>20.918223999999999</v>
      </c>
      <c r="AC102" s="17">
        <v>115.84362448325101</v>
      </c>
      <c r="AD102" s="17">
        <v>1.7419754109949701E-2</v>
      </c>
      <c r="AE102" s="17">
        <v>6.3957290836925598</v>
      </c>
      <c r="AF102" s="17">
        <v>103.37602790201601</v>
      </c>
      <c r="AG102" s="17">
        <v>8.2819338369155098</v>
      </c>
      <c r="AH102" s="17">
        <v>0.65200000000000002</v>
      </c>
      <c r="AI102" s="17">
        <v>1006.44122383253</v>
      </c>
      <c r="AJ102" s="17">
        <v>0.76319999999999999</v>
      </c>
      <c r="AK102" s="17">
        <v>0.31280000000000002</v>
      </c>
      <c r="AL102" s="2"/>
      <c r="AM102" s="2"/>
      <c r="AN102" s="2"/>
      <c r="DF102" s="57"/>
      <c r="DG102" s="57"/>
      <c r="DU102" s="2">
        <v>5.9179945199999997</v>
      </c>
      <c r="DV102" s="2">
        <f t="shared" si="32"/>
        <v>0</v>
      </c>
      <c r="DW102" s="2">
        <f t="shared" si="33"/>
        <v>0</v>
      </c>
      <c r="DX102" s="2">
        <f t="shared" si="34"/>
        <v>0</v>
      </c>
      <c r="DY102" s="2">
        <f t="shared" si="35"/>
        <v>0</v>
      </c>
      <c r="DZ102" s="19" t="e">
        <f t="shared" si="36"/>
        <v>#DIV/0!</v>
      </c>
      <c r="EA102" s="2">
        <v>5.7739619199999996</v>
      </c>
      <c r="EB102" s="2">
        <f t="shared" si="37"/>
        <v>0</v>
      </c>
      <c r="EC102" s="2">
        <f t="shared" si="38"/>
        <v>0</v>
      </c>
      <c r="ED102" s="2">
        <f t="shared" si="39"/>
        <v>0</v>
      </c>
      <c r="EE102" s="2">
        <f t="shared" si="40"/>
        <v>0</v>
      </c>
      <c r="EF102" s="19" t="e">
        <f t="shared" si="41"/>
        <v>#DIV/0!</v>
      </c>
    </row>
    <row r="103" spans="1:136">
      <c r="A103" s="1">
        <v>101</v>
      </c>
      <c r="B103" s="2" t="s">
        <v>294</v>
      </c>
      <c r="C103" s="2">
        <v>250530</v>
      </c>
      <c r="D103" s="2" t="s">
        <v>184</v>
      </c>
      <c r="E103" s="2" t="s">
        <v>292</v>
      </c>
      <c r="F103" s="2">
        <v>6.76</v>
      </c>
      <c r="G103" s="2">
        <v>1010.6</v>
      </c>
      <c r="H103" s="2">
        <v>24.9</v>
      </c>
      <c r="I103" s="2">
        <v>43.1</v>
      </c>
      <c r="J103" s="54" t="s">
        <v>151</v>
      </c>
      <c r="K103" s="2">
        <v>208</v>
      </c>
      <c r="L103" s="54" t="s">
        <v>295</v>
      </c>
      <c r="M103" s="2" t="s">
        <v>153</v>
      </c>
      <c r="N103" s="2" t="s">
        <v>267</v>
      </c>
      <c r="O103" s="2">
        <v>0</v>
      </c>
      <c r="P103" s="2">
        <v>25.7</v>
      </c>
      <c r="Q103" s="2">
        <v>0.83</v>
      </c>
      <c r="R103" s="54">
        <v>2500000</v>
      </c>
      <c r="S103" s="54"/>
      <c r="U103" s="54"/>
      <c r="Z103" s="54"/>
      <c r="AA103" s="17">
        <v>1</v>
      </c>
      <c r="AB103" s="17">
        <v>25.7</v>
      </c>
      <c r="AC103" s="17">
        <v>120.55493026667</v>
      </c>
      <c r="AD103" s="17">
        <v>1.23673298410022E-2</v>
      </c>
      <c r="AE103" s="17">
        <v>6.3557809436731096</v>
      </c>
      <c r="AF103" s="17">
        <v>101.949829676354</v>
      </c>
      <c r="AG103" s="17">
        <v>8.1626147331133598</v>
      </c>
      <c r="AH103" s="17">
        <v>0.63800000000000001</v>
      </c>
      <c r="AI103" s="17">
        <v>1008.8781275222</v>
      </c>
      <c r="AJ103" s="17">
        <v>0.81359999999999999</v>
      </c>
      <c r="AK103" s="17">
        <v>0.31280000000000002</v>
      </c>
      <c r="AL103" s="2"/>
      <c r="AM103" s="2"/>
      <c r="AN103" s="2"/>
      <c r="DF103" s="57"/>
      <c r="DG103" s="57"/>
      <c r="DU103" s="2">
        <v>5.9179945199999997</v>
      </c>
      <c r="DV103" s="2">
        <f t="shared" si="32"/>
        <v>0</v>
      </c>
      <c r="DW103" s="2">
        <f t="shared" si="33"/>
        <v>0</v>
      </c>
      <c r="DX103" s="2">
        <f t="shared" si="34"/>
        <v>0</v>
      </c>
      <c r="DY103" s="2">
        <f t="shared" ref="DY103:DY107" si="46">DX103*DU103</f>
        <v>0</v>
      </c>
      <c r="DZ103" s="19" t="e">
        <f t="shared" ref="DZ103:DZ107" si="47">DV103*DY103/(0.00001716*(DW103/273)^1.5*(273+111)/(DW103+111))</f>
        <v>#DIV/0!</v>
      </c>
      <c r="EA103" s="2">
        <v>5.7739619199999996</v>
      </c>
      <c r="EB103" s="2">
        <f t="shared" si="37"/>
        <v>0</v>
      </c>
      <c r="EC103" s="2">
        <f t="shared" si="38"/>
        <v>0</v>
      </c>
      <c r="ED103" s="2">
        <f t="shared" si="39"/>
        <v>0</v>
      </c>
      <c r="EE103" s="2">
        <f t="shared" ref="EE103:EE107" si="48">ED103*EA103</f>
        <v>0</v>
      </c>
      <c r="EF103" s="19" t="e">
        <f t="shared" ref="EF103:EF107" si="49">EB103*EE103/(0.00001716*(EC103/273)^1.5*(273+111)/(EC103+111))</f>
        <v>#DIV/0!</v>
      </c>
    </row>
    <row r="104" spans="1:136">
      <c r="A104" s="1">
        <v>102</v>
      </c>
      <c r="B104" s="2" t="s">
        <v>294</v>
      </c>
      <c r="C104" s="2">
        <v>250530</v>
      </c>
      <c r="D104" s="2" t="s">
        <v>184</v>
      </c>
      <c r="E104" s="2" t="s">
        <v>292</v>
      </c>
      <c r="F104" s="2">
        <v>6.76</v>
      </c>
      <c r="G104" s="2">
        <v>1010.6</v>
      </c>
      <c r="H104" s="2">
        <v>24.9</v>
      </c>
      <c r="I104" s="2">
        <v>41.6</v>
      </c>
      <c r="J104" s="54" t="s">
        <v>151</v>
      </c>
      <c r="K104" s="2">
        <v>200.5</v>
      </c>
      <c r="L104" s="54" t="s">
        <v>296</v>
      </c>
      <c r="M104" s="2" t="s">
        <v>153</v>
      </c>
      <c r="N104" s="2" t="s">
        <v>267</v>
      </c>
      <c r="O104" s="2">
        <v>0</v>
      </c>
      <c r="P104" s="2">
        <v>26.1</v>
      </c>
      <c r="Q104" s="2">
        <v>0.87</v>
      </c>
      <c r="AA104" s="17">
        <v>1</v>
      </c>
      <c r="AB104" s="17">
        <v>26.1</v>
      </c>
      <c r="AC104" s="17">
        <v>119.452461718791</v>
      </c>
      <c r="AD104" s="17">
        <v>1.7744208478522101E-2</v>
      </c>
      <c r="AE104" s="17">
        <v>6.3628559892294501</v>
      </c>
      <c r="AF104" s="17">
        <v>104.02702489032499</v>
      </c>
      <c r="AG104" s="17">
        <v>8.3319475101081508</v>
      </c>
      <c r="AH104" s="17">
        <v>0.60960000000000003</v>
      </c>
      <c r="AI104" s="17">
        <v>1009.69305331179</v>
      </c>
      <c r="AJ104" s="17">
        <v>0.87039999999999995</v>
      </c>
      <c r="AK104" s="17">
        <v>0.31240000000000001</v>
      </c>
      <c r="AL104" s="2"/>
      <c r="AM104" s="2"/>
      <c r="AN104" s="2"/>
      <c r="DF104" s="57"/>
      <c r="DG104" s="57"/>
      <c r="DU104" s="2">
        <v>5.9179945199999997</v>
      </c>
      <c r="DV104" s="2">
        <f t="shared" si="32"/>
        <v>0</v>
      </c>
      <c r="DW104" s="2">
        <f t="shared" si="33"/>
        <v>0</v>
      </c>
      <c r="DX104" s="2">
        <f t="shared" si="34"/>
        <v>0</v>
      </c>
      <c r="DY104" s="2">
        <f t="shared" si="46"/>
        <v>0</v>
      </c>
      <c r="DZ104" s="19" t="e">
        <f t="shared" si="47"/>
        <v>#DIV/0!</v>
      </c>
      <c r="EA104" s="2">
        <v>5.7739619199999996</v>
      </c>
      <c r="EB104" s="2">
        <f t="shared" si="37"/>
        <v>0</v>
      </c>
      <c r="EC104" s="2">
        <f t="shared" si="38"/>
        <v>0</v>
      </c>
      <c r="ED104" s="2">
        <f t="shared" si="39"/>
        <v>0</v>
      </c>
      <c r="EE104" s="2">
        <f t="shared" si="48"/>
        <v>0</v>
      </c>
      <c r="EF104" s="19" t="e">
        <f t="shared" si="49"/>
        <v>#DIV/0!</v>
      </c>
    </row>
    <row r="105" spans="1:136">
      <c r="A105" s="1">
        <v>103</v>
      </c>
      <c r="B105" s="54" t="s">
        <v>247</v>
      </c>
      <c r="C105" s="2">
        <v>250604</v>
      </c>
      <c r="D105" s="54" t="s">
        <v>174</v>
      </c>
      <c r="E105" s="54" t="s">
        <v>121</v>
      </c>
      <c r="F105" s="54">
        <v>6.76</v>
      </c>
      <c r="G105" s="54">
        <v>1003.3</v>
      </c>
      <c r="H105" s="54">
        <v>22.9</v>
      </c>
      <c r="I105" s="54">
        <v>54.3</v>
      </c>
      <c r="J105" s="54" t="s">
        <v>151</v>
      </c>
      <c r="K105" s="54">
        <v>179.9</v>
      </c>
      <c r="L105" s="54" t="s">
        <v>279</v>
      </c>
      <c r="M105" s="54" t="s">
        <v>153</v>
      </c>
      <c r="N105" s="54" t="s">
        <v>154</v>
      </c>
      <c r="O105" s="54">
        <v>0.48</v>
      </c>
      <c r="P105" s="54">
        <v>24.3</v>
      </c>
      <c r="Q105" s="54">
        <v>0.85</v>
      </c>
      <c r="R105" s="54">
        <v>2500000</v>
      </c>
      <c r="S105" s="54" t="s">
        <v>155</v>
      </c>
      <c r="T105" s="54" t="s">
        <v>167</v>
      </c>
      <c r="U105" s="54" t="s">
        <v>157</v>
      </c>
      <c r="V105" s="54">
        <v>1500000</v>
      </c>
      <c r="W105" s="54">
        <v>1280</v>
      </c>
      <c r="X105" s="54">
        <v>32</v>
      </c>
      <c r="Y105" s="54" t="s">
        <v>158</v>
      </c>
      <c r="Z105" s="54">
        <v>9.5000000000000001E-2</v>
      </c>
      <c r="AL105" s="2"/>
      <c r="AM105" s="2"/>
      <c r="AN105" s="2"/>
      <c r="DF105" s="57"/>
      <c r="DG105" s="57"/>
      <c r="DU105" s="2">
        <v>5.9179945199999997</v>
      </c>
      <c r="DV105" s="2">
        <f t="shared" si="32"/>
        <v>0</v>
      </c>
      <c r="DW105" s="2">
        <f t="shared" si="33"/>
        <v>0</v>
      </c>
      <c r="DX105" s="2">
        <f t="shared" si="34"/>
        <v>0</v>
      </c>
      <c r="DY105" s="2">
        <f t="shared" si="46"/>
        <v>0</v>
      </c>
      <c r="DZ105" s="19" t="e">
        <f t="shared" si="47"/>
        <v>#DIV/0!</v>
      </c>
      <c r="EA105" s="2">
        <v>5.7739619199999996</v>
      </c>
      <c r="EB105" s="2">
        <f t="shared" si="37"/>
        <v>0</v>
      </c>
      <c r="EC105" s="2">
        <f t="shared" si="38"/>
        <v>0</v>
      </c>
      <c r="ED105" s="2">
        <f t="shared" si="39"/>
        <v>0</v>
      </c>
      <c r="EE105" s="2">
        <f t="shared" si="48"/>
        <v>0</v>
      </c>
      <c r="EF105" s="19" t="e">
        <f t="shared" si="49"/>
        <v>#DIV/0!</v>
      </c>
    </row>
    <row r="106" spans="1:136">
      <c r="A106" s="1">
        <v>104</v>
      </c>
      <c r="B106" s="2" t="s">
        <v>297</v>
      </c>
      <c r="C106" s="2">
        <v>250605</v>
      </c>
      <c r="D106" s="54" t="s">
        <v>174</v>
      </c>
      <c r="E106" s="2" t="s">
        <v>298</v>
      </c>
      <c r="F106" s="54">
        <v>6.76</v>
      </c>
      <c r="G106" s="2">
        <v>1011.4</v>
      </c>
      <c r="H106" s="2">
        <v>23.7</v>
      </c>
      <c r="I106" s="2">
        <v>40.799999999999997</v>
      </c>
      <c r="J106" s="54" t="s">
        <v>151</v>
      </c>
      <c r="K106" s="2">
        <v>250</v>
      </c>
      <c r="L106" s="54" t="s">
        <v>299</v>
      </c>
      <c r="M106" s="54" t="s">
        <v>153</v>
      </c>
      <c r="N106" s="54" t="s">
        <v>154</v>
      </c>
      <c r="O106" s="2">
        <v>0.2</v>
      </c>
      <c r="P106" s="2">
        <v>25.1</v>
      </c>
      <c r="Q106" s="2">
        <v>0.85</v>
      </c>
      <c r="R106" s="54">
        <v>2500000</v>
      </c>
      <c r="S106" s="54" t="s">
        <v>155</v>
      </c>
      <c r="T106" s="54" t="s">
        <v>300</v>
      </c>
      <c r="U106" s="54" t="s">
        <v>157</v>
      </c>
      <c r="V106" s="54">
        <v>1500000</v>
      </c>
      <c r="W106" s="54">
        <v>1280</v>
      </c>
      <c r="X106" s="54">
        <v>32</v>
      </c>
      <c r="Y106" s="54">
        <v>200</v>
      </c>
      <c r="Z106" s="54">
        <v>9.5000000000000001E-2</v>
      </c>
      <c r="AL106" s="2"/>
      <c r="AM106" s="2"/>
      <c r="AN106" s="2"/>
      <c r="DA106" s="2">
        <f>DB68*( 1.26753763)^0.5</f>
        <v>212.54917182282807</v>
      </c>
      <c r="DB106" s="2">
        <f>DA106* 5.91799452</f>
        <v>1257.8648340780348</v>
      </c>
      <c r="DF106" s="57"/>
      <c r="DG106" s="57"/>
      <c r="DU106" s="2">
        <v>5.9179945199999997</v>
      </c>
      <c r="DV106" s="2">
        <f t="shared" si="32"/>
        <v>0</v>
      </c>
      <c r="DW106" s="2">
        <f t="shared" si="33"/>
        <v>0</v>
      </c>
      <c r="DX106" s="2">
        <f t="shared" si="34"/>
        <v>1416.166792459057</v>
      </c>
      <c r="DY106" s="2">
        <f t="shared" si="46"/>
        <v>8380.8673171786759</v>
      </c>
      <c r="DZ106" s="19" t="e">
        <f t="shared" si="47"/>
        <v>#DIV/0!</v>
      </c>
      <c r="EA106" s="2">
        <v>5.7739619199999996</v>
      </c>
      <c r="EB106" s="2">
        <f t="shared" si="37"/>
        <v>0</v>
      </c>
      <c r="EC106" s="2">
        <f t="shared" si="38"/>
        <v>0</v>
      </c>
      <c r="ED106" s="2">
        <f t="shared" si="39"/>
        <v>1447.032211347188</v>
      </c>
      <c r="EE106" s="2">
        <f t="shared" si="48"/>
        <v>8355.1088853320543</v>
      </c>
      <c r="EF106" s="19" t="e">
        <f t="shared" si="49"/>
        <v>#DIV/0!</v>
      </c>
    </row>
    <row r="107" spans="1:136">
      <c r="A107" s="1">
        <v>105</v>
      </c>
      <c r="B107" s="2" t="s">
        <v>301</v>
      </c>
      <c r="C107" s="2">
        <v>250605</v>
      </c>
      <c r="D107" s="2" t="s">
        <v>302</v>
      </c>
      <c r="E107" s="2" t="s">
        <v>303</v>
      </c>
      <c r="F107" s="54">
        <v>6.76</v>
      </c>
      <c r="G107" s="2">
        <v>1010.3</v>
      </c>
      <c r="H107" s="2">
        <v>23.9</v>
      </c>
      <c r="I107" s="2">
        <v>43</v>
      </c>
      <c r="J107" s="54" t="s">
        <v>151</v>
      </c>
      <c r="K107" s="2">
        <v>220</v>
      </c>
      <c r="L107" s="54" t="s">
        <v>304</v>
      </c>
      <c r="M107" s="54" t="s">
        <v>153</v>
      </c>
      <c r="N107" s="54" t="s">
        <v>154</v>
      </c>
      <c r="O107" s="2">
        <v>2.57</v>
      </c>
      <c r="P107" s="2">
        <v>24.9</v>
      </c>
      <c r="Q107" s="2">
        <v>0.88</v>
      </c>
      <c r="R107" s="54">
        <v>2500000</v>
      </c>
      <c r="S107" s="54" t="s">
        <v>155</v>
      </c>
      <c r="T107" s="54" t="s">
        <v>288</v>
      </c>
      <c r="U107" s="54" t="s">
        <v>157</v>
      </c>
      <c r="V107" s="54">
        <v>1500000</v>
      </c>
      <c r="W107" s="54">
        <v>1280</v>
      </c>
      <c r="X107" s="54">
        <v>32</v>
      </c>
      <c r="Y107" s="54">
        <v>200</v>
      </c>
      <c r="Z107" s="54">
        <v>9.5000000000000001E-2</v>
      </c>
      <c r="AA107" s="17">
        <v>3.57</v>
      </c>
      <c r="AB107" s="17">
        <v>24.9</v>
      </c>
      <c r="AC107" s="17">
        <v>120.717440505501</v>
      </c>
      <c r="AD107" s="17">
        <v>1.3798005832901999E-2</v>
      </c>
      <c r="AE107" s="17">
        <v>36.735869841018499</v>
      </c>
      <c r="AF107" s="17">
        <v>124.56529317158299</v>
      </c>
      <c r="AG107" s="17">
        <v>3.7421278012522401</v>
      </c>
      <c r="AH107" s="17">
        <v>2.1244000000000001</v>
      </c>
      <c r="AI107" s="17">
        <v>881.523272214386</v>
      </c>
      <c r="AJ107" s="17">
        <v>-9.3620000000000001</v>
      </c>
      <c r="AK107" s="17">
        <v>0.35320000000000001</v>
      </c>
      <c r="AL107" s="2">
        <v>357000</v>
      </c>
      <c r="AM107" s="2">
        <v>298.05</v>
      </c>
      <c r="AN107" s="2">
        <v>4.17265</v>
      </c>
      <c r="AO107" s="2">
        <v>214555</v>
      </c>
      <c r="AP107" s="2">
        <v>300112</v>
      </c>
      <c r="AQ107" s="2">
        <v>287.05599999999998</v>
      </c>
      <c r="AR107" s="2">
        <v>1.39053</v>
      </c>
      <c r="AS107" s="2">
        <v>1022.1</v>
      </c>
      <c r="AT107" s="2">
        <v>344.87299999999999</v>
      </c>
      <c r="AU107" s="2">
        <v>6488.44</v>
      </c>
      <c r="AV107" s="3">
        <v>0</v>
      </c>
      <c r="AW107" s="2">
        <v>0</v>
      </c>
      <c r="AX107" s="3">
        <v>2657100</v>
      </c>
      <c r="AY107" s="3">
        <v>644.74699999999996</v>
      </c>
      <c r="AZ107" s="3">
        <v>14.3569</v>
      </c>
      <c r="BA107" s="2">
        <v>470758</v>
      </c>
      <c r="BB107" s="2">
        <v>655834</v>
      </c>
      <c r="BC107" s="2">
        <v>287.05099999999999</v>
      </c>
      <c r="BD107" s="2">
        <v>1.37049</v>
      </c>
      <c r="BE107" s="2">
        <v>1061.8499999999999</v>
      </c>
      <c r="BF107" s="2">
        <v>503.678</v>
      </c>
      <c r="BG107" s="2">
        <v>6712.25</v>
      </c>
      <c r="BH107" s="2">
        <v>256.20400000000001</v>
      </c>
      <c r="BI107" s="2">
        <v>0.50866625105722296</v>
      </c>
      <c r="BJ107" s="3">
        <v>11524600</v>
      </c>
      <c r="BK107" s="3">
        <v>1026.6400000000001</v>
      </c>
      <c r="BL107" s="2">
        <v>39.1068</v>
      </c>
      <c r="BM107" s="2">
        <v>783338</v>
      </c>
      <c r="BN107" s="2">
        <v>1078030</v>
      </c>
      <c r="BO107" s="2">
        <v>287.05</v>
      </c>
      <c r="BP107" s="2">
        <v>1.3344400000000001</v>
      </c>
      <c r="BQ107" s="2">
        <v>1145.3499999999999</v>
      </c>
      <c r="BR107" s="2">
        <v>626.95399999999995</v>
      </c>
      <c r="BS107" s="2">
        <v>6803.99</v>
      </c>
      <c r="BT107" s="2">
        <v>0</v>
      </c>
      <c r="BU107" s="2">
        <v>0</v>
      </c>
      <c r="BV107" s="3">
        <v>12456500</v>
      </c>
      <c r="BW107" s="2">
        <v>1046.78</v>
      </c>
      <c r="BX107" s="2">
        <v>41.455399999999997</v>
      </c>
      <c r="BY107" s="2">
        <v>800705</v>
      </c>
      <c r="BZ107" s="2">
        <v>1101180</v>
      </c>
      <c r="CA107" s="2">
        <v>287.05099999999999</v>
      </c>
      <c r="CB107" s="2">
        <v>1.3330299999999999</v>
      </c>
      <c r="CC107" s="2">
        <v>1148.98</v>
      </c>
      <c r="CD107" s="2">
        <v>632.721</v>
      </c>
      <c r="CE107" s="2">
        <v>6803.99</v>
      </c>
      <c r="CF107" s="2">
        <v>0</v>
      </c>
      <c r="CG107" s="2">
        <v>0</v>
      </c>
      <c r="CH107" s="2">
        <v>6693770</v>
      </c>
      <c r="CI107" s="2">
        <v>894.69500000000005</v>
      </c>
      <c r="CJ107" s="2">
        <v>26.063800000000001</v>
      </c>
      <c r="CK107" s="2">
        <v>671669</v>
      </c>
      <c r="CL107" s="2">
        <v>928492</v>
      </c>
      <c r="CM107" s="2">
        <v>287.05</v>
      </c>
      <c r="CN107" s="2">
        <v>1.34501</v>
      </c>
      <c r="CO107" s="2">
        <v>1119.06</v>
      </c>
      <c r="CP107" s="2">
        <v>587.697</v>
      </c>
      <c r="CQ107" s="2">
        <v>6803.99</v>
      </c>
      <c r="CR107" s="2">
        <v>587.69600000000003</v>
      </c>
      <c r="CS107" s="2">
        <v>0.999998298442905</v>
      </c>
      <c r="CT107" s="2">
        <v>3137.18</v>
      </c>
      <c r="CU107" s="3">
        <v>108.768</v>
      </c>
      <c r="CV107" s="2">
        <v>0.100476</v>
      </c>
      <c r="CW107" s="2">
        <v>78298.2</v>
      </c>
      <c r="CX107" s="2">
        <v>109521</v>
      </c>
      <c r="CY107" s="2">
        <v>287.06099999999998</v>
      </c>
      <c r="CZ107" s="2">
        <v>1.3905400000000001</v>
      </c>
      <c r="DA107" s="2">
        <v>1022.1</v>
      </c>
      <c r="DB107" s="2">
        <v>208.33699999999999</v>
      </c>
      <c r="DC107" s="2">
        <v>6803.99</v>
      </c>
      <c r="DD107" s="2">
        <v>1408.31</v>
      </c>
      <c r="DE107" s="2">
        <v>6.75976</v>
      </c>
      <c r="DF107" s="57">
        <f>CV107*DD107/(0.00001716*(CU107/273)^1.5*(273+111)/(CU107+111))</f>
        <v>18765874.370152827</v>
      </c>
      <c r="DG107" s="57">
        <f>CX107+0.5*DD107^2</f>
        <v>1101189.5280499998</v>
      </c>
      <c r="DU107" s="2">
        <v>5.9179945199999997</v>
      </c>
      <c r="DV107" s="2">
        <f t="shared" si="32"/>
        <v>0.17502102932975999</v>
      </c>
      <c r="DW107" s="2">
        <f t="shared" si="33"/>
        <v>137.86753293984</v>
      </c>
      <c r="DX107" s="2">
        <f t="shared" si="34"/>
        <v>234.55615662933698</v>
      </c>
      <c r="DY107" s="2">
        <f t="shared" si="46"/>
        <v>1388.1020495646778</v>
      </c>
      <c r="DZ107" s="19">
        <f t="shared" si="47"/>
        <v>25567150.511481792</v>
      </c>
      <c r="EA107" s="2">
        <v>5.7739619199999996</v>
      </c>
      <c r="EB107" s="2">
        <f t="shared" si="37"/>
        <v>0.18545653702295997</v>
      </c>
      <c r="EC107" s="2">
        <f t="shared" si="38"/>
        <v>143.94268147776</v>
      </c>
      <c r="ED107" s="2">
        <f t="shared" si="39"/>
        <v>239.66831860468136</v>
      </c>
      <c r="EE107" s="2">
        <f t="shared" si="48"/>
        <v>1383.8357450538576</v>
      </c>
      <c r="EF107" s="19">
        <f t="shared" si="49"/>
        <v>25934645.699245472</v>
      </c>
    </row>
    <row r="108" spans="1:136">
      <c r="A108" s="1">
        <v>106</v>
      </c>
      <c r="B108" s="2" t="s">
        <v>301</v>
      </c>
      <c r="C108" s="2">
        <v>250605</v>
      </c>
      <c r="D108" s="54" t="s">
        <v>174</v>
      </c>
      <c r="E108" s="2" t="s">
        <v>298</v>
      </c>
      <c r="F108" s="54">
        <v>6.76</v>
      </c>
      <c r="G108" s="2">
        <v>1009.4</v>
      </c>
      <c r="H108" s="2">
        <v>24.1</v>
      </c>
      <c r="I108" s="2">
        <v>41.2</v>
      </c>
      <c r="J108" s="54" t="s">
        <v>151</v>
      </c>
      <c r="K108" s="2">
        <v>216</v>
      </c>
      <c r="L108" s="54" t="s">
        <v>305</v>
      </c>
      <c r="M108" s="54" t="s">
        <v>153</v>
      </c>
      <c r="N108" s="54" t="s">
        <v>154</v>
      </c>
      <c r="O108" s="2">
        <v>0.2</v>
      </c>
      <c r="P108" s="2">
        <v>25.5</v>
      </c>
      <c r="Q108" s="2">
        <v>0.83</v>
      </c>
      <c r="R108" s="54">
        <v>2500000</v>
      </c>
      <c r="S108" s="54" t="s">
        <v>155</v>
      </c>
      <c r="T108" s="54" t="s">
        <v>300</v>
      </c>
      <c r="U108" s="54" t="s">
        <v>157</v>
      </c>
      <c r="V108" s="54">
        <v>1500000</v>
      </c>
      <c r="W108" s="54">
        <v>1280</v>
      </c>
      <c r="X108" s="54">
        <v>32</v>
      </c>
      <c r="Y108" s="54">
        <v>200</v>
      </c>
      <c r="Z108" s="54">
        <v>9.5000000000000001E-2</v>
      </c>
      <c r="AL108" s="2"/>
      <c r="AM108" s="2"/>
      <c r="AN108" s="2"/>
      <c r="DF108" s="57"/>
      <c r="DG108" s="57"/>
    </row>
    <row r="109" spans="1:136">
      <c r="A109" s="1">
        <v>107</v>
      </c>
      <c r="B109" s="2" t="s">
        <v>306</v>
      </c>
      <c r="C109" s="2">
        <v>250605</v>
      </c>
      <c r="D109" s="2" t="s">
        <v>302</v>
      </c>
      <c r="E109" s="2" t="s">
        <v>307</v>
      </c>
      <c r="F109" s="54">
        <v>6.76</v>
      </c>
      <c r="G109" s="2">
        <v>1008.9</v>
      </c>
      <c r="H109" s="2">
        <v>24.5</v>
      </c>
      <c r="I109" s="2">
        <v>44.1</v>
      </c>
      <c r="J109" s="54" t="s">
        <v>151</v>
      </c>
      <c r="K109" s="2">
        <v>230</v>
      </c>
      <c r="L109" s="54" t="s">
        <v>308</v>
      </c>
      <c r="M109" s="54" t="s">
        <v>153</v>
      </c>
      <c r="N109" s="54" t="s">
        <v>154</v>
      </c>
      <c r="O109" s="2">
        <v>2.57</v>
      </c>
      <c r="P109" s="2">
        <v>26.7</v>
      </c>
      <c r="Q109" s="2">
        <v>0.85</v>
      </c>
      <c r="R109" s="54">
        <v>2500000</v>
      </c>
      <c r="S109" s="2" t="s">
        <v>307</v>
      </c>
      <c r="T109" s="54" t="s">
        <v>309</v>
      </c>
      <c r="U109" s="54" t="s">
        <v>157</v>
      </c>
      <c r="V109" s="2">
        <v>230000</v>
      </c>
      <c r="W109" s="2">
        <v>1280</v>
      </c>
      <c r="X109" s="2">
        <v>224</v>
      </c>
      <c r="Y109" s="2">
        <v>50</v>
      </c>
      <c r="Z109" s="2">
        <v>4.0739999999999998</v>
      </c>
      <c r="AA109" s="17">
        <v>3.57</v>
      </c>
      <c r="AB109" s="17">
        <v>26.7</v>
      </c>
      <c r="AC109" s="17">
        <v>120.75750411298699</v>
      </c>
      <c r="AD109" s="17">
        <v>1.5125787882137001E-2</v>
      </c>
      <c r="AE109" s="17">
        <v>34.487831682933503</v>
      </c>
      <c r="AF109" s="17">
        <v>112.984013006487</v>
      </c>
      <c r="AG109" s="17">
        <v>3.4914229375352099</v>
      </c>
      <c r="AH109" s="17">
        <v>2.1032000000000002</v>
      </c>
      <c r="AI109" s="17">
        <v>880.90204369274102</v>
      </c>
      <c r="AJ109" s="17">
        <v>-9.3547999999999991</v>
      </c>
      <c r="AK109" s="17">
        <v>0.35239999999999999</v>
      </c>
      <c r="AL109" s="2">
        <v>357000</v>
      </c>
      <c r="AM109" s="2">
        <v>299.85000000000002</v>
      </c>
      <c r="AN109" s="2">
        <v>4.1475999999999997</v>
      </c>
      <c r="AO109" s="2">
        <v>215851</v>
      </c>
      <c r="AP109" s="2">
        <v>301925</v>
      </c>
      <c r="AQ109" s="2">
        <v>287.05599999999998</v>
      </c>
      <c r="AR109" s="2">
        <v>1.39053</v>
      </c>
      <c r="AS109" s="2">
        <v>1022.1</v>
      </c>
      <c r="AT109" s="2">
        <v>345.91300000000001</v>
      </c>
      <c r="AU109" s="2">
        <v>6494.67</v>
      </c>
      <c r="AV109" s="3">
        <v>0</v>
      </c>
      <c r="AW109" s="2">
        <v>0</v>
      </c>
      <c r="AX109" s="3">
        <v>2637120</v>
      </c>
      <c r="AY109" s="3">
        <v>645.79300000000001</v>
      </c>
      <c r="AZ109" s="3">
        <v>14.2258</v>
      </c>
      <c r="BA109" s="2">
        <v>471562</v>
      </c>
      <c r="BB109" s="2">
        <v>656938</v>
      </c>
      <c r="BC109" s="2">
        <v>287.05099999999999</v>
      </c>
      <c r="BD109" s="2">
        <v>1.3703700000000001</v>
      </c>
      <c r="BE109" s="2">
        <v>1062.0899999999999</v>
      </c>
      <c r="BF109" s="2">
        <v>504.065</v>
      </c>
      <c r="BG109" s="2">
        <v>6716.14</v>
      </c>
      <c r="BH109" s="2">
        <v>256.83100000000002</v>
      </c>
      <c r="BI109" s="2">
        <v>0.50951960560641996</v>
      </c>
      <c r="BJ109" s="3">
        <v>11398400</v>
      </c>
      <c r="BK109" s="3">
        <v>1026.73</v>
      </c>
      <c r="BL109" s="2">
        <v>38.674999999999997</v>
      </c>
      <c r="BM109" s="2">
        <v>783420</v>
      </c>
      <c r="BN109" s="2">
        <v>1078140</v>
      </c>
      <c r="BO109" s="2">
        <v>287.05</v>
      </c>
      <c r="BP109" s="2">
        <v>1.33443</v>
      </c>
      <c r="BQ109" s="2">
        <v>1145.3699999999999</v>
      </c>
      <c r="BR109" s="2">
        <v>626.98099999999999</v>
      </c>
      <c r="BS109" s="2">
        <v>6807.25</v>
      </c>
      <c r="BT109" s="2">
        <v>0</v>
      </c>
      <c r="BU109" s="2">
        <v>0</v>
      </c>
      <c r="BV109" s="3">
        <v>11298400</v>
      </c>
      <c r="BW109" s="2">
        <v>1024.46</v>
      </c>
      <c r="BX109" s="2">
        <v>38.420499999999997</v>
      </c>
      <c r="BY109" s="2">
        <v>781470</v>
      </c>
      <c r="BZ109" s="2">
        <v>1075540</v>
      </c>
      <c r="CA109" s="2">
        <v>287.05</v>
      </c>
      <c r="CB109" s="2">
        <v>1.3345899999999999</v>
      </c>
      <c r="CC109" s="2">
        <v>1144.96</v>
      </c>
      <c r="CD109" s="2">
        <v>626.32799999999997</v>
      </c>
      <c r="CE109" s="2">
        <v>6807.25</v>
      </c>
      <c r="CF109" s="2">
        <v>0</v>
      </c>
      <c r="CG109" s="2">
        <v>0</v>
      </c>
      <c r="CH109" s="2">
        <v>6068120</v>
      </c>
      <c r="CI109" s="2">
        <v>874.96799999999996</v>
      </c>
      <c r="CJ109" s="2">
        <v>24.160399999999999</v>
      </c>
      <c r="CK109" s="2">
        <v>655277</v>
      </c>
      <c r="CL109" s="2">
        <v>906436</v>
      </c>
      <c r="CM109" s="2">
        <v>287.05</v>
      </c>
      <c r="CN109" s="2">
        <v>1.34674</v>
      </c>
      <c r="CO109" s="2">
        <v>1114.9100000000001</v>
      </c>
      <c r="CP109" s="2">
        <v>581.56100000000004</v>
      </c>
      <c r="CQ109" s="2">
        <v>6807.25</v>
      </c>
      <c r="CR109" s="2">
        <v>581.55999999999995</v>
      </c>
      <c r="CS109" s="2">
        <v>0.99999828048992301</v>
      </c>
      <c r="CT109" s="2">
        <v>2849.48</v>
      </c>
      <c r="CU109" s="3">
        <v>106.217</v>
      </c>
      <c r="CV109" s="2">
        <v>9.3453800000000004E-2</v>
      </c>
      <c r="CW109" s="2">
        <v>76461.8</v>
      </c>
      <c r="CX109" s="2">
        <v>106953</v>
      </c>
      <c r="CY109" s="2">
        <v>287.06</v>
      </c>
      <c r="CZ109" s="2">
        <v>1.39053</v>
      </c>
      <c r="DA109" s="2">
        <v>1022.1</v>
      </c>
      <c r="DB109" s="2">
        <v>205.87899999999999</v>
      </c>
      <c r="DC109" s="2">
        <v>6807.25</v>
      </c>
      <c r="DD109" s="2">
        <v>1391.83</v>
      </c>
      <c r="DE109" s="2">
        <v>6.7603999999999997</v>
      </c>
      <c r="DF109" s="57">
        <f>CV109*DD109/(0.00001716*(CU109/273)^1.5*(273+111)/(CU109+111))</f>
        <v>17667755.72087688</v>
      </c>
      <c r="DG109" s="57">
        <f>CX109+0.5*DD109^2</f>
        <v>1075548.37445</v>
      </c>
      <c r="DU109" s="2">
        <v>5.9179945199999997</v>
      </c>
      <c r="DV109" s="2">
        <f>1.74191876*CV109</f>
        <v>0.16278892741328799</v>
      </c>
      <c r="DW109" s="2">
        <f>CU109*1.26753763</f>
        <v>134.63404444571</v>
      </c>
      <c r="DX109" s="2">
        <f>DB109*( 1.26753763)^0.5</f>
        <v>231.78881797612172</v>
      </c>
      <c r="DY109" s="2">
        <f>DX109*DU109</f>
        <v>1371.7249545799657</v>
      </c>
      <c r="DZ109" s="19">
        <f>DV109*DY109/(0.00001716*(DW109/273)^1.5*(273+111)/(DW109+111))</f>
        <v>24034970.002169926</v>
      </c>
      <c r="EA109" s="2">
        <v>5.7739619199999996</v>
      </c>
      <c r="EB109" s="2">
        <f>1.84577946*CV109</f>
        <v>0.172495104498948</v>
      </c>
      <c r="EC109" s="2">
        <f>CU109* 1.32339182</f>
        <v>140.56670894494002</v>
      </c>
      <c r="ED109" s="2">
        <f>DB109*( 1.32339182)^0.5</f>
        <v>236.84066568114733</v>
      </c>
      <c r="EE109" s="2">
        <f>ED109*EA109</f>
        <v>1367.5089847503955</v>
      </c>
      <c r="EF109" s="19">
        <f>EB109*EE109/(0.00001716*(EC109/273)^1.5*(273+111)/(EC109+111))</f>
        <v>24374284.616263285</v>
      </c>
    </row>
    <row r="110" spans="1:136">
      <c r="A110" s="1">
        <v>108</v>
      </c>
      <c r="B110" s="2" t="s">
        <v>306</v>
      </c>
      <c r="C110" s="2">
        <v>250605</v>
      </c>
      <c r="D110" s="2" t="s">
        <v>302</v>
      </c>
      <c r="E110" s="2" t="s">
        <v>307</v>
      </c>
      <c r="F110" s="2">
        <v>6.76</v>
      </c>
      <c r="G110" s="2">
        <v>1009.2</v>
      </c>
      <c r="H110" s="2">
        <v>24.7</v>
      </c>
      <c r="I110" s="2">
        <v>41.7</v>
      </c>
      <c r="J110" s="2" t="s">
        <v>151</v>
      </c>
      <c r="L110" s="54" t="s">
        <v>310</v>
      </c>
      <c r="M110" s="54" t="s">
        <v>153</v>
      </c>
      <c r="N110" s="2" t="s">
        <v>154</v>
      </c>
      <c r="O110" s="2">
        <v>4</v>
      </c>
      <c r="P110" s="2">
        <v>26.7</v>
      </c>
      <c r="Q110" s="2">
        <v>0.85</v>
      </c>
      <c r="R110" s="54">
        <v>2500000</v>
      </c>
      <c r="S110" s="2" t="s">
        <v>307</v>
      </c>
      <c r="T110" s="2" t="s">
        <v>309</v>
      </c>
      <c r="U110" s="2" t="s">
        <v>157</v>
      </c>
      <c r="V110" s="2">
        <v>230000</v>
      </c>
      <c r="W110" s="2">
        <v>1280</v>
      </c>
      <c r="X110" s="2">
        <v>224</v>
      </c>
      <c r="Y110" s="2">
        <v>50</v>
      </c>
      <c r="Z110" s="2">
        <v>4.0739999999999998</v>
      </c>
      <c r="AA110" s="17">
        <v>5</v>
      </c>
      <c r="AB110" s="17">
        <v>26.7</v>
      </c>
      <c r="AC110" s="17">
        <v>119.87942618756399</v>
      </c>
      <c r="AD110" s="17">
        <v>1.3159074664993799E-2</v>
      </c>
      <c r="AE110" s="17">
        <v>35.410556524222102</v>
      </c>
      <c r="AF110" s="17">
        <v>121.240753220434</v>
      </c>
      <c r="AG110" s="17">
        <v>4.32281861933361</v>
      </c>
      <c r="AH110" s="17">
        <v>2.0268000000000002</v>
      </c>
      <c r="AI110" s="17">
        <v>813.27260897853</v>
      </c>
      <c r="AJ110" s="17">
        <v>-10.116</v>
      </c>
      <c r="AK110" s="17">
        <v>0.35320000000000001</v>
      </c>
      <c r="AL110" s="2">
        <v>500000</v>
      </c>
      <c r="AM110" s="2">
        <v>299.85000000000002</v>
      </c>
      <c r="AN110" s="2">
        <v>5.8089300000000001</v>
      </c>
      <c r="AO110" s="2">
        <v>215851</v>
      </c>
      <c r="AP110" s="2">
        <v>301925</v>
      </c>
      <c r="AQ110" s="2">
        <v>287.05799999999999</v>
      </c>
      <c r="AR110" s="2">
        <v>1.39053</v>
      </c>
      <c r="AS110" s="2">
        <v>1022.1</v>
      </c>
      <c r="AT110" s="2">
        <v>345.91300000000001</v>
      </c>
      <c r="AU110" s="2">
        <v>6397.87</v>
      </c>
      <c r="AV110" s="3">
        <v>0</v>
      </c>
      <c r="AW110" s="2">
        <v>0</v>
      </c>
      <c r="AX110" s="3">
        <v>3132270</v>
      </c>
      <c r="AY110" s="3">
        <v>591.50099999999998</v>
      </c>
      <c r="AZ110" s="3">
        <v>18.447700000000001</v>
      </c>
      <c r="BA110" s="2">
        <v>430048</v>
      </c>
      <c r="BB110" s="2">
        <v>599841</v>
      </c>
      <c r="BC110" s="2">
        <v>287.05399999999997</v>
      </c>
      <c r="BD110" s="2">
        <v>1.3763099999999999</v>
      </c>
      <c r="BE110" s="2">
        <v>1049.8699999999999</v>
      </c>
      <c r="BF110" s="2">
        <v>483.46100000000001</v>
      </c>
      <c r="BG110" s="2">
        <v>6574.11</v>
      </c>
      <c r="BH110" s="2">
        <v>256.089</v>
      </c>
      <c r="BI110" s="2">
        <v>0.52969939664212795</v>
      </c>
      <c r="BJ110" s="3">
        <v>12487600</v>
      </c>
      <c r="BK110" s="3">
        <v>915.505</v>
      </c>
      <c r="BL110" s="2">
        <v>47.518799999999999</v>
      </c>
      <c r="BM110" s="2">
        <v>689050</v>
      </c>
      <c r="BN110" s="2">
        <v>951842</v>
      </c>
      <c r="BO110" s="2">
        <v>287.04599999999999</v>
      </c>
      <c r="BP110" s="2">
        <v>1.3431900000000001</v>
      </c>
      <c r="BQ110" s="2">
        <v>1123.45</v>
      </c>
      <c r="BR110" s="2">
        <v>594.08199999999999</v>
      </c>
      <c r="BS110" s="2">
        <v>6650.8</v>
      </c>
      <c r="BT110" s="2">
        <v>0</v>
      </c>
      <c r="BU110" s="2">
        <v>0</v>
      </c>
      <c r="BV110" s="3">
        <v>12124100</v>
      </c>
      <c r="BW110" s="2">
        <v>908.62300000000005</v>
      </c>
      <c r="BX110" s="2">
        <v>46.484999999999999</v>
      </c>
      <c r="BY110" s="2">
        <v>683294</v>
      </c>
      <c r="BZ110" s="2">
        <v>944111</v>
      </c>
      <c r="CA110" s="2">
        <v>287.04700000000003</v>
      </c>
      <c r="CB110" s="2">
        <v>1.34379</v>
      </c>
      <c r="CC110" s="2">
        <v>1122</v>
      </c>
      <c r="CD110" s="2">
        <v>591.98099999999999</v>
      </c>
      <c r="CE110" s="2">
        <v>6650.8</v>
      </c>
      <c r="CF110" s="2">
        <v>0</v>
      </c>
      <c r="CG110" s="2">
        <v>0</v>
      </c>
      <c r="CH110" s="2">
        <v>6488370</v>
      </c>
      <c r="CI110" s="2">
        <v>772.70299999999997</v>
      </c>
      <c r="CJ110" s="2">
        <v>29.252500000000001</v>
      </c>
      <c r="CK110" s="2">
        <v>571836</v>
      </c>
      <c r="CL110" s="2">
        <v>793642</v>
      </c>
      <c r="CM110" s="2">
        <v>287.05099999999999</v>
      </c>
      <c r="CN110" s="2">
        <v>1.3566400000000001</v>
      </c>
      <c r="CO110" s="2">
        <v>1091.93</v>
      </c>
      <c r="CP110" s="2">
        <v>548.58000000000004</v>
      </c>
      <c r="CQ110" s="2">
        <v>6650.8</v>
      </c>
      <c r="CR110" s="2">
        <v>548.57899999999995</v>
      </c>
      <c r="CS110" s="2">
        <v>0.99999817711181604</v>
      </c>
      <c r="CT110" s="2">
        <v>3065.12</v>
      </c>
      <c r="CU110" s="3">
        <v>93.237200000000001</v>
      </c>
      <c r="CV110" s="2">
        <v>0.114521</v>
      </c>
      <c r="CW110" s="2">
        <v>67118</v>
      </c>
      <c r="CX110" s="2">
        <v>93882.8</v>
      </c>
      <c r="CY110" s="2">
        <v>287.06099999999998</v>
      </c>
      <c r="CZ110" s="2">
        <v>1.3905400000000001</v>
      </c>
      <c r="DA110" s="2">
        <v>1022.1</v>
      </c>
      <c r="DB110" s="2">
        <v>192.89</v>
      </c>
      <c r="DC110" s="2">
        <v>6650.81</v>
      </c>
      <c r="DD110" s="2">
        <v>1304.02</v>
      </c>
      <c r="DE110" s="2">
        <v>6.7604199999999999</v>
      </c>
      <c r="DF110" s="118">
        <f>CV110*DD110/(0.00001716*(CU110/273)^1.5*(273+111)/(CU110+111))</f>
        <v>23190806.931224115</v>
      </c>
      <c r="DG110" s="57">
        <f>CX110+0.5*DD110^2</f>
        <v>944116.88020000001</v>
      </c>
      <c r="DU110" s="2">
        <v>5.9179945199999997</v>
      </c>
      <c r="DV110" s="2">
        <f>1.74191876*CV110</f>
        <v>0.19948627831395999</v>
      </c>
      <c r="DW110" s="2">
        <f>CU110*1.26753763</f>
        <v>118.181659515836</v>
      </c>
      <c r="DX110" s="2">
        <f>DB110*( 1.26753763)^0.5</f>
        <v>217.16515574397638</v>
      </c>
      <c r="DY110" s="2">
        <f>DX110*DU110</f>
        <v>1285.1822016277988</v>
      </c>
      <c r="DZ110" s="19">
        <f>DV110*DY110/(0.00001716*(DW110/273)^1.5*(273+111)/(DW110+111))</f>
        <v>31306024.939287499</v>
      </c>
      <c r="EA110" s="2">
        <v>5.7739619199999996</v>
      </c>
      <c r="EB110" s="2">
        <f>1.84577946*CV110</f>
        <v>0.21138050953866</v>
      </c>
      <c r="EC110" s="2">
        <f>CU110* 1.32339182</f>
        <v>123.38934779970401</v>
      </c>
      <c r="ED110" s="2">
        <f>DB110*( 1.32339182)^0.5</f>
        <v>221.89828007342425</v>
      </c>
      <c r="EE110" s="2">
        <f>ED110*EA110</f>
        <v>1281.2322192574463</v>
      </c>
      <c r="EF110" s="19">
        <f>EB110*EE110/(0.00001716*(EC110/273)^1.5*(273+111)/(EC110+111))</f>
        <v>31703676.076099809</v>
      </c>
    </row>
    <row r="111" spans="1:136">
      <c r="A111" s="1">
        <v>109</v>
      </c>
      <c r="B111" s="2" t="s">
        <v>283</v>
      </c>
      <c r="C111" s="2">
        <v>250606</v>
      </c>
      <c r="D111" s="2" t="s">
        <v>311</v>
      </c>
      <c r="E111" s="2" t="s">
        <v>286</v>
      </c>
      <c r="F111" s="54">
        <v>6.76</v>
      </c>
      <c r="G111" s="2">
        <v>1007.4</v>
      </c>
      <c r="H111" s="2">
        <v>25.9</v>
      </c>
      <c r="I111" s="2">
        <v>40.6</v>
      </c>
      <c r="J111" s="54" t="s">
        <v>151</v>
      </c>
      <c r="K111" s="2">
        <v>230</v>
      </c>
      <c r="L111" s="54" t="s">
        <v>312</v>
      </c>
      <c r="M111" s="54" t="s">
        <v>153</v>
      </c>
      <c r="N111" s="2" t="s">
        <v>267</v>
      </c>
      <c r="O111" s="2">
        <v>0</v>
      </c>
      <c r="P111" s="2">
        <v>27.6</v>
      </c>
      <c r="Q111" s="2">
        <v>0.82</v>
      </c>
      <c r="R111" s="54">
        <v>2500000</v>
      </c>
      <c r="S111" s="54" t="s">
        <v>155</v>
      </c>
      <c r="T111" s="2" t="s">
        <v>288</v>
      </c>
      <c r="U111" s="54" t="s">
        <v>157</v>
      </c>
      <c r="V111" s="2">
        <v>65000</v>
      </c>
      <c r="W111" s="2">
        <v>1280</v>
      </c>
      <c r="X111" s="2">
        <v>800</v>
      </c>
      <c r="Y111" s="2">
        <v>135</v>
      </c>
      <c r="Z111" s="2">
        <v>1</v>
      </c>
      <c r="AL111" s="2"/>
      <c r="AM111" s="2"/>
      <c r="AN111" s="2"/>
      <c r="DF111" s="57"/>
      <c r="DG111" s="57"/>
      <c r="DU111" s="2">
        <v>5.9179945199999997</v>
      </c>
      <c r="DV111" s="2">
        <f>1.74191876*CV111</f>
        <v>0</v>
      </c>
      <c r="DW111" s="2">
        <f>CU111*1.26753763</f>
        <v>0</v>
      </c>
      <c r="DX111" s="2">
        <f>DB111*( 1.26753763)^0.5</f>
        <v>0</v>
      </c>
      <c r="DY111" s="2">
        <f>DX111*DU111</f>
        <v>0</v>
      </c>
      <c r="DZ111" s="19" t="e">
        <f>DV111*DY111/(0.00001716*(DW111/273)^1.5*(273+111)/(DW111+111))</f>
        <v>#DIV/0!</v>
      </c>
      <c r="EA111" s="2">
        <v>5.7739619199999996</v>
      </c>
      <c r="EB111" s="2">
        <f>1.84577946*CV111</f>
        <v>0</v>
      </c>
      <c r="EC111" s="2">
        <f>CU111* 1.32339182</f>
        <v>0</v>
      </c>
      <c r="ED111" s="2">
        <f>DB111*( 1.32339182)^0.5</f>
        <v>0</v>
      </c>
      <c r="EE111" s="2">
        <f>ED111*EA111</f>
        <v>0</v>
      </c>
      <c r="EF111" s="19" t="e">
        <f>EB111*EE111/(0.00001716*(EC111/273)^1.5*(273+111)/(EC111+111))</f>
        <v>#DIV/0!</v>
      </c>
    </row>
    <row r="112" spans="1:136">
      <c r="A112" s="1">
        <v>110</v>
      </c>
      <c r="B112" s="2" t="s">
        <v>283</v>
      </c>
      <c r="C112" s="2">
        <v>250606</v>
      </c>
      <c r="D112" s="2" t="s">
        <v>311</v>
      </c>
      <c r="E112" s="2" t="s">
        <v>286</v>
      </c>
      <c r="F112" s="54">
        <v>6.76</v>
      </c>
      <c r="G112" s="2">
        <v>1007.1</v>
      </c>
      <c r="H112" s="2">
        <v>26.3</v>
      </c>
      <c r="I112" s="2">
        <v>39.5</v>
      </c>
      <c r="J112" s="54" t="s">
        <v>151</v>
      </c>
      <c r="K112" s="2">
        <v>214</v>
      </c>
      <c r="L112" s="54" t="s">
        <v>313</v>
      </c>
      <c r="M112" s="54" t="s">
        <v>153</v>
      </c>
      <c r="N112" s="2" t="s">
        <v>267</v>
      </c>
      <c r="O112" s="2">
        <v>0</v>
      </c>
      <c r="P112" s="2">
        <v>27.3</v>
      </c>
      <c r="Q112" s="2">
        <v>0.84</v>
      </c>
      <c r="R112" s="54">
        <v>2500000</v>
      </c>
      <c r="S112" s="54" t="s">
        <v>155</v>
      </c>
      <c r="T112" s="2" t="s">
        <v>288</v>
      </c>
      <c r="U112" s="54" t="s">
        <v>157</v>
      </c>
      <c r="V112" s="2">
        <v>65000</v>
      </c>
      <c r="W112" s="2">
        <v>1280</v>
      </c>
      <c r="X112" s="2">
        <v>800</v>
      </c>
      <c r="Y112" s="2">
        <v>135</v>
      </c>
      <c r="Z112" s="2">
        <v>1</v>
      </c>
      <c r="AL112" s="2"/>
      <c r="AM112" s="2"/>
      <c r="AN112" s="2"/>
      <c r="DF112" s="57"/>
      <c r="DG112" s="57"/>
      <c r="DU112" s="2">
        <v>5.9179945199999997</v>
      </c>
      <c r="DV112" s="2">
        <f>1.74191876*CV112</f>
        <v>0</v>
      </c>
      <c r="DW112" s="2">
        <f>CU112*1.26753763</f>
        <v>0</v>
      </c>
      <c r="DX112" s="2">
        <f>DB112*( 1.26753763)^0.5</f>
        <v>0</v>
      </c>
      <c r="DY112" s="2">
        <f>DX112*DU112</f>
        <v>0</v>
      </c>
      <c r="DZ112" s="19" t="e">
        <f>DV112*DY112/(0.00001716*(DW112/273)^1.5*(273+111)/(DW112+111))</f>
        <v>#DIV/0!</v>
      </c>
      <c r="EA112" s="2">
        <v>5.7739619199999996</v>
      </c>
      <c r="EB112" s="2">
        <f>1.84577946*CV112</f>
        <v>0</v>
      </c>
      <c r="EC112" s="2">
        <f>CU112* 1.32339182</f>
        <v>0</v>
      </c>
      <c r="ED112" s="2">
        <f>DB112*( 1.32339182)^0.5</f>
        <v>0</v>
      </c>
      <c r="EE112" s="2">
        <f>ED112*EA112</f>
        <v>0</v>
      </c>
      <c r="EF112" s="19" t="e">
        <f>EB112*EE112/(0.00001716*(EC112/273)^1.5*(273+111)/(EC112+111))</f>
        <v>#DIV/0!</v>
      </c>
    </row>
    <row r="113" spans="1:132">
      <c r="A113" s="1">
        <v>111</v>
      </c>
      <c r="B113" s="54" t="s">
        <v>247</v>
      </c>
      <c r="C113" s="2">
        <v>250612</v>
      </c>
      <c r="D113" s="2" t="s">
        <v>184</v>
      </c>
      <c r="E113" s="2" t="s">
        <v>292</v>
      </c>
      <c r="F113" s="2">
        <v>6.76</v>
      </c>
      <c r="G113" s="2">
        <v>1013</v>
      </c>
      <c r="H113" s="2">
        <v>24.1</v>
      </c>
      <c r="I113" s="2">
        <v>51.2</v>
      </c>
      <c r="J113" s="54" t="s">
        <v>151</v>
      </c>
      <c r="K113" s="2">
        <v>215</v>
      </c>
      <c r="L113" s="54" t="s">
        <v>305</v>
      </c>
      <c r="M113" s="2" t="s">
        <v>153</v>
      </c>
      <c r="N113" s="2" t="s">
        <v>267</v>
      </c>
      <c r="O113" s="2">
        <v>-0.5</v>
      </c>
      <c r="P113" s="2">
        <v>26.3</v>
      </c>
      <c r="Q113" s="2">
        <v>0.87</v>
      </c>
      <c r="R113" s="54">
        <v>2500000</v>
      </c>
      <c r="AL113" s="2"/>
      <c r="AM113" s="2"/>
      <c r="AN113" s="2"/>
    </row>
    <row r="114" spans="1:132">
      <c r="A114" s="1">
        <v>112</v>
      </c>
      <c r="B114" s="54" t="s">
        <v>247</v>
      </c>
      <c r="C114" s="2">
        <v>250612</v>
      </c>
      <c r="D114" s="2" t="s">
        <v>184</v>
      </c>
      <c r="E114" s="2" t="s">
        <v>292</v>
      </c>
      <c r="F114" s="2">
        <v>6.76</v>
      </c>
      <c r="G114" s="2">
        <v>1012.8</v>
      </c>
      <c r="H114" s="2">
        <v>23.9</v>
      </c>
      <c r="I114" s="2">
        <v>51.3</v>
      </c>
      <c r="J114" s="54" t="s">
        <v>314</v>
      </c>
      <c r="K114" s="2">
        <v>195</v>
      </c>
      <c r="L114" s="54" t="s">
        <v>305</v>
      </c>
      <c r="M114" s="2" t="s">
        <v>153</v>
      </c>
      <c r="N114" s="2" t="s">
        <v>267</v>
      </c>
      <c r="O114" s="2">
        <v>0</v>
      </c>
      <c r="P114" s="2">
        <v>25.5</v>
      </c>
      <c r="Q114" s="2">
        <v>0.85</v>
      </c>
      <c r="R114" s="54">
        <v>2500000</v>
      </c>
      <c r="AL114" s="2"/>
      <c r="AM114" s="2"/>
      <c r="AN114" s="2"/>
      <c r="DU114" s="2">
        <v>5.9179945199999997</v>
      </c>
      <c r="DV114" s="2">
        <v>8.0333112606175996E-2</v>
      </c>
      <c r="DW114" s="2">
        <v>206.19288134735999</v>
      </c>
      <c r="DX114" s="2">
        <v>286.84849935752601</v>
      </c>
      <c r="DY114" s="2">
        <v>1697.56784726807</v>
      </c>
      <c r="DZ114" s="2">
        <v>10000693.767507499</v>
      </c>
      <c r="EA114" s="2">
        <f>DW114*(1+0.83*(0.41/2)*DU114^2)-300</f>
        <v>1134.9180048425035</v>
      </c>
    </row>
    <row r="115" spans="1:132">
      <c r="A115" s="1">
        <v>113</v>
      </c>
      <c r="B115" s="54" t="s">
        <v>247</v>
      </c>
      <c r="C115" s="2">
        <v>250612</v>
      </c>
      <c r="D115" s="2" t="s">
        <v>184</v>
      </c>
      <c r="E115" s="2" t="s">
        <v>292</v>
      </c>
      <c r="F115" s="2">
        <v>6.76</v>
      </c>
      <c r="G115" s="2">
        <v>1013.1</v>
      </c>
      <c r="H115" s="2">
        <v>24.1</v>
      </c>
      <c r="I115" s="2">
        <v>50.7</v>
      </c>
      <c r="J115" s="54" t="s">
        <v>151</v>
      </c>
      <c r="K115" s="2">
        <v>201</v>
      </c>
      <c r="L115" s="54" t="s">
        <v>305</v>
      </c>
      <c r="M115" s="2" t="s">
        <v>153</v>
      </c>
      <c r="N115" s="2" t="s">
        <v>267</v>
      </c>
      <c r="O115" s="2">
        <v>-0.8</v>
      </c>
      <c r="P115" s="2">
        <v>25.5</v>
      </c>
      <c r="Q115" s="2">
        <v>0.83</v>
      </c>
      <c r="R115" s="54">
        <v>2500000</v>
      </c>
      <c r="AA115" s="17">
        <v>0.2</v>
      </c>
      <c r="AB115" s="17">
        <v>25.5</v>
      </c>
      <c r="AC115" s="17">
        <v>122.79031107966399</v>
      </c>
      <c r="AD115" s="17">
        <v>5.6684620236812601E-3</v>
      </c>
      <c r="AE115" s="17"/>
      <c r="AF115" s="17">
        <v>59.789336951879498</v>
      </c>
      <c r="AG115" s="17">
        <v>2.7178952614520799</v>
      </c>
      <c r="AH115" s="17">
        <v>3.8</v>
      </c>
      <c r="AI115" s="17">
        <v>1379.6909492273701</v>
      </c>
      <c r="AJ115" s="17">
        <v>0.66400000000000003</v>
      </c>
      <c r="AK115" s="17">
        <v>0.80959999999999999</v>
      </c>
      <c r="AL115" s="17"/>
      <c r="AM115" s="17"/>
      <c r="AN115" s="17"/>
      <c r="AO115" s="17"/>
      <c r="DU115" s="2">
        <v>5.7739619199999996</v>
      </c>
      <c r="DV115" s="2">
        <v>0.21138050953866</v>
      </c>
      <c r="DW115" s="2">
        <v>123.389347799704</v>
      </c>
      <c r="DX115" s="2">
        <v>221.89828007342399</v>
      </c>
      <c r="DY115" s="2">
        <v>1281.23221925745</v>
      </c>
      <c r="DZ115" s="2">
        <v>31703676.076099802</v>
      </c>
      <c r="EA115" s="2">
        <f>DW115*(1+0.83*(0.41/2)*DU115^2)-300</f>
        <v>523.32393194425117</v>
      </c>
    </row>
    <row r="116" spans="1:132">
      <c r="A116" s="1">
        <v>114</v>
      </c>
      <c r="B116" s="2" t="s">
        <v>301</v>
      </c>
      <c r="C116" s="2">
        <v>250617</v>
      </c>
      <c r="D116" s="2" t="s">
        <v>315</v>
      </c>
      <c r="E116" s="2" t="s">
        <v>307</v>
      </c>
      <c r="F116" s="2">
        <v>6.76</v>
      </c>
      <c r="G116" s="2">
        <v>1004.6</v>
      </c>
      <c r="H116" s="2">
        <v>26.1</v>
      </c>
      <c r="I116" s="2">
        <v>54.9</v>
      </c>
      <c r="J116" s="54" t="s">
        <v>151</v>
      </c>
      <c r="K116" s="2">
        <v>224</v>
      </c>
      <c r="L116" s="54" t="s">
        <v>305</v>
      </c>
      <c r="M116" s="2" t="s">
        <v>153</v>
      </c>
      <c r="N116" s="2" t="s">
        <v>154</v>
      </c>
      <c r="O116" s="2">
        <v>0.2</v>
      </c>
      <c r="P116" s="2">
        <v>28.1</v>
      </c>
      <c r="Q116" s="2">
        <v>0.88</v>
      </c>
      <c r="R116" s="54">
        <v>2500000</v>
      </c>
      <c r="S116" s="2" t="s">
        <v>307</v>
      </c>
      <c r="T116" s="54" t="s">
        <v>316</v>
      </c>
      <c r="U116" s="54" t="s">
        <v>157</v>
      </c>
      <c r="V116" s="2">
        <v>320000</v>
      </c>
      <c r="W116" s="2">
        <v>1280</v>
      </c>
      <c r="X116" s="2">
        <v>160</v>
      </c>
      <c r="Y116" s="2">
        <v>50</v>
      </c>
      <c r="Z116" s="2">
        <v>2.847</v>
      </c>
      <c r="AL116" s="2"/>
      <c r="AM116" s="2"/>
      <c r="AN116" s="2"/>
      <c r="DV116" s="2">
        <f>DV114/DV115</f>
        <v>0.38004030164135655</v>
      </c>
      <c r="DY116" s="2">
        <f>DY114/DY115</f>
        <v>1.3249493899333185</v>
      </c>
      <c r="EA116" s="2">
        <f>EA114/EA115</f>
        <v>2.1686720892470182</v>
      </c>
      <c r="EB116" s="2">
        <f>DV116*DY116*EA116</f>
        <v>1.0920004913739711</v>
      </c>
    </row>
    <row r="117" spans="1:132">
      <c r="A117" s="1">
        <v>115</v>
      </c>
      <c r="B117" s="2" t="s">
        <v>301</v>
      </c>
      <c r="C117" s="2">
        <v>250619</v>
      </c>
      <c r="D117" s="2" t="s">
        <v>315</v>
      </c>
      <c r="E117" s="2" t="s">
        <v>307</v>
      </c>
      <c r="F117" s="2">
        <v>6.76</v>
      </c>
      <c r="G117" s="2">
        <v>1010.4</v>
      </c>
      <c r="H117" s="2">
        <v>26.4</v>
      </c>
      <c r="I117" s="2">
        <v>49.4</v>
      </c>
      <c r="J117" s="54" t="s">
        <v>151</v>
      </c>
      <c r="K117" s="2">
        <v>236.8</v>
      </c>
      <c r="L117" s="54" t="s">
        <v>305</v>
      </c>
      <c r="M117" s="2" t="s">
        <v>153</v>
      </c>
      <c r="N117" s="2" t="s">
        <v>154</v>
      </c>
      <c r="O117" s="2">
        <v>0.2</v>
      </c>
      <c r="P117" s="2">
        <v>27.9</v>
      </c>
      <c r="Q117" s="2">
        <v>0.82</v>
      </c>
      <c r="R117" s="54">
        <v>2500000</v>
      </c>
      <c r="S117" s="2" t="s">
        <v>307</v>
      </c>
      <c r="T117" s="54" t="s">
        <v>316</v>
      </c>
      <c r="U117" s="54" t="s">
        <v>157</v>
      </c>
      <c r="V117" s="2">
        <v>320000</v>
      </c>
      <c r="W117" s="2">
        <v>1280</v>
      </c>
      <c r="X117" s="2">
        <v>160</v>
      </c>
      <c r="Y117" s="2">
        <v>35</v>
      </c>
      <c r="Z117" s="2">
        <v>2.847</v>
      </c>
      <c r="AL117" s="2"/>
      <c r="AM117" s="2"/>
      <c r="AN117" s="2"/>
    </row>
    <row r="118" spans="1:132">
      <c r="A118" s="68">
        <v>116</v>
      </c>
      <c r="B118" s="2" t="s">
        <v>301</v>
      </c>
      <c r="C118" s="2">
        <v>250619</v>
      </c>
      <c r="D118" s="2" t="s">
        <v>315</v>
      </c>
      <c r="E118" s="2" t="s">
        <v>307</v>
      </c>
      <c r="F118" s="2">
        <v>6.76</v>
      </c>
      <c r="G118" s="2">
        <v>1009.5</v>
      </c>
      <c r="H118" s="2">
        <v>26.2</v>
      </c>
      <c r="I118" s="2">
        <v>45.6</v>
      </c>
      <c r="J118" s="119" t="s">
        <v>151</v>
      </c>
      <c r="K118" s="2">
        <v>219</v>
      </c>
      <c r="L118" s="119" t="s">
        <v>305</v>
      </c>
      <c r="M118" s="2" t="s">
        <v>153</v>
      </c>
      <c r="N118" s="2" t="s">
        <v>154</v>
      </c>
      <c r="O118" s="2">
        <v>0.2</v>
      </c>
      <c r="P118" s="2">
        <v>28.1</v>
      </c>
      <c r="Q118" s="2">
        <v>0.86</v>
      </c>
      <c r="R118" s="119">
        <v>2500000</v>
      </c>
      <c r="S118" s="2" t="s">
        <v>307</v>
      </c>
      <c r="T118" s="119" t="s">
        <v>316</v>
      </c>
      <c r="U118" s="119" t="s">
        <v>157</v>
      </c>
      <c r="V118" s="2">
        <v>230000</v>
      </c>
      <c r="W118" s="2">
        <v>1280</v>
      </c>
      <c r="X118" s="2">
        <v>224</v>
      </c>
      <c r="Y118" s="2">
        <v>50</v>
      </c>
      <c r="Z118" s="2">
        <v>4.0739999999999998</v>
      </c>
      <c r="AA118" s="17">
        <v>1.2</v>
      </c>
      <c r="AB118" s="17">
        <v>28.1</v>
      </c>
      <c r="AC118" s="17">
        <v>117.460289491487</v>
      </c>
      <c r="AD118" s="17">
        <v>1.13059948754496E-2</v>
      </c>
      <c r="AE118" s="17"/>
      <c r="AF118" s="17">
        <f>AC118*0.3551+37.829</f>
        <v>79.539148798427036</v>
      </c>
      <c r="AG118" s="17">
        <v>1.78041893710849</v>
      </c>
      <c r="AH118" s="17">
        <v>2.0752000000000002</v>
      </c>
      <c r="AI118" s="17">
        <v>1087.90252393386</v>
      </c>
      <c r="AJ118" s="17">
        <v>0.37080000000000002</v>
      </c>
      <c r="AL118" s="17">
        <v>120000</v>
      </c>
      <c r="AM118" s="17">
        <v>301.25</v>
      </c>
      <c r="AN118" s="17">
        <v>1.38768</v>
      </c>
      <c r="AO118" s="17">
        <v>216859</v>
      </c>
      <c r="AP118" s="17">
        <v>303334</v>
      </c>
      <c r="AQ118" s="17">
        <v>287.05599999999998</v>
      </c>
      <c r="AR118" s="17">
        <v>1.39053</v>
      </c>
      <c r="AS118" s="17">
        <v>1022.1</v>
      </c>
      <c r="AT118" s="17">
        <v>346.71800000000002</v>
      </c>
      <c r="AU118" s="17">
        <v>6812.27</v>
      </c>
      <c r="AV118" s="17">
        <v>0</v>
      </c>
      <c r="AW118" s="17">
        <v>0</v>
      </c>
      <c r="AX118" s="17">
        <v>1362230</v>
      </c>
      <c r="AY118" s="17">
        <v>833.18</v>
      </c>
      <c r="AZ118" s="17">
        <v>5.6958200000000003</v>
      </c>
      <c r="BA118" s="17">
        <v>620812</v>
      </c>
      <c r="BB118" s="17">
        <v>859975</v>
      </c>
      <c r="BC118" s="17">
        <v>287.048</v>
      </c>
      <c r="BD118" s="17">
        <v>1.35043</v>
      </c>
      <c r="BE118" s="17">
        <v>1106.19</v>
      </c>
      <c r="BF118" s="17">
        <v>568.28200000000004</v>
      </c>
      <c r="BG118" s="17">
        <v>7181.77</v>
      </c>
      <c r="BH118" s="17">
        <v>265.04599999999999</v>
      </c>
      <c r="BI118" s="17">
        <v>0.46639872457688297</v>
      </c>
      <c r="BJ118" s="17">
        <v>7071760</v>
      </c>
      <c r="BK118" s="17">
        <v>1403.94</v>
      </c>
      <c r="BL118" s="17">
        <v>17.548100000000002</v>
      </c>
      <c r="BM118" s="17">
        <v>1120870</v>
      </c>
      <c r="BN118" s="17">
        <v>1523860</v>
      </c>
      <c r="BO118" s="17">
        <v>287.04500000000002</v>
      </c>
      <c r="BP118" s="17">
        <v>1.31416</v>
      </c>
      <c r="BQ118" s="17">
        <v>1200.72</v>
      </c>
      <c r="BR118" s="17">
        <v>726.45500000000004</v>
      </c>
      <c r="BS118" s="17">
        <v>7313.56</v>
      </c>
      <c r="BT118" s="17">
        <v>0</v>
      </c>
      <c r="BU118" s="17">
        <v>0</v>
      </c>
      <c r="BV118" s="120">
        <v>7953910</v>
      </c>
      <c r="BW118" s="17">
        <v>1443.48</v>
      </c>
      <c r="BX118" s="17">
        <v>19.1966</v>
      </c>
      <c r="BY118" s="17">
        <v>1157570</v>
      </c>
      <c r="BZ118" s="17">
        <v>1571910</v>
      </c>
      <c r="CA118" s="17">
        <v>287.04199999999997</v>
      </c>
      <c r="CB118" s="17">
        <v>1.3127599999999999</v>
      </c>
      <c r="CC118" s="17">
        <v>1204.83</v>
      </c>
      <c r="CD118" s="17">
        <v>736.01</v>
      </c>
      <c r="CE118" s="17">
        <v>7313.56</v>
      </c>
      <c r="CF118" s="17">
        <v>0</v>
      </c>
      <c r="CG118" s="17">
        <v>0</v>
      </c>
      <c r="CH118" s="17">
        <v>4311690</v>
      </c>
      <c r="CI118" s="17">
        <v>1247.3499999999999</v>
      </c>
      <c r="CJ118" s="17">
        <v>12.0421</v>
      </c>
      <c r="CK118" s="17">
        <v>977759</v>
      </c>
      <c r="CL118" s="17">
        <v>1335810</v>
      </c>
      <c r="CM118" s="17">
        <v>287.04899999999998</v>
      </c>
      <c r="CN118" s="17">
        <v>1.32107</v>
      </c>
      <c r="CO118" s="17">
        <v>1181.0999999999999</v>
      </c>
      <c r="CP118" s="17">
        <v>687.17</v>
      </c>
      <c r="CQ118" s="17">
        <v>7313.56</v>
      </c>
      <c r="CR118" s="17">
        <v>687.16899999999998</v>
      </c>
      <c r="CS118" s="17">
        <v>0.99999854475602801</v>
      </c>
      <c r="CT118" s="17">
        <v>1921.47</v>
      </c>
      <c r="CU118" s="17">
        <v>155.249</v>
      </c>
      <c r="CV118" s="17">
        <v>4.3118299999999998E-2</v>
      </c>
      <c r="CW118" s="17">
        <v>111758</v>
      </c>
      <c r="CX118" s="17">
        <v>156320</v>
      </c>
      <c r="CY118" s="17">
        <v>287.041</v>
      </c>
      <c r="CZ118" s="17">
        <v>1.3905099999999999</v>
      </c>
      <c r="DA118" s="17">
        <v>1022.09</v>
      </c>
      <c r="DB118" s="17">
        <v>248.90199999999999</v>
      </c>
      <c r="DC118" s="17">
        <v>7313.56</v>
      </c>
      <c r="DD118" s="17">
        <v>1682.61</v>
      </c>
      <c r="DE118" s="17">
        <v>6.7601199999999997</v>
      </c>
      <c r="DF118" s="121">
        <f>CV118*DD118/(0.00001716*(CU118/273)^1.5*(273+111)/(CU118+111))</f>
        <v>6835736.7024066597</v>
      </c>
      <c r="DG118" s="121">
        <f>CX118+0.5*DD118^2</f>
        <v>1571908.2060499999</v>
      </c>
      <c r="DI118" s="2">
        <v>423</v>
      </c>
    </row>
    <row r="119" spans="1:132">
      <c r="A119" s="1">
        <v>117</v>
      </c>
      <c r="B119" s="2" t="s">
        <v>289</v>
      </c>
      <c r="C119" s="2">
        <v>250620</v>
      </c>
      <c r="D119" s="2" t="s">
        <v>317</v>
      </c>
      <c r="E119" s="2" t="s">
        <v>307</v>
      </c>
      <c r="F119" s="2">
        <v>6.76</v>
      </c>
      <c r="G119" s="2">
        <v>1001.5</v>
      </c>
      <c r="H119" s="2">
        <v>27.2</v>
      </c>
      <c r="I119" s="2">
        <v>57.4</v>
      </c>
      <c r="J119" s="54" t="s">
        <v>151</v>
      </c>
      <c r="K119" s="2">
        <v>235.1</v>
      </c>
      <c r="L119" s="54" t="s">
        <v>305</v>
      </c>
      <c r="M119" s="2" t="s">
        <v>153</v>
      </c>
      <c r="N119" s="2" t="s">
        <v>154</v>
      </c>
      <c r="O119" s="2">
        <v>0.2</v>
      </c>
      <c r="P119" s="2">
        <v>29.1</v>
      </c>
      <c r="Q119" s="2">
        <v>0.88</v>
      </c>
      <c r="R119" s="54">
        <v>2500000</v>
      </c>
      <c r="S119" s="2" t="s">
        <v>307</v>
      </c>
      <c r="T119" s="54" t="s">
        <v>316</v>
      </c>
      <c r="U119" s="54" t="s">
        <v>157</v>
      </c>
      <c r="V119" s="2">
        <v>230000</v>
      </c>
      <c r="W119" s="2">
        <v>1280</v>
      </c>
      <c r="X119" s="2">
        <v>224</v>
      </c>
      <c r="Y119" s="2">
        <v>50</v>
      </c>
      <c r="Z119" s="2">
        <v>4.0739999999999998</v>
      </c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20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9"/>
    </row>
    <row r="120" spans="1:132">
      <c r="A120" s="1">
        <v>118</v>
      </c>
      <c r="B120" s="2" t="s">
        <v>289</v>
      </c>
      <c r="C120" s="2">
        <v>250620</v>
      </c>
      <c r="D120" s="2" t="s">
        <v>317</v>
      </c>
      <c r="E120" s="2" t="s">
        <v>307</v>
      </c>
      <c r="F120" s="2">
        <v>6.76</v>
      </c>
      <c r="G120" s="2">
        <v>1002.3</v>
      </c>
      <c r="H120" s="2">
        <v>26.2</v>
      </c>
      <c r="I120" s="2">
        <v>50.6</v>
      </c>
      <c r="J120" s="54" t="s">
        <v>151</v>
      </c>
      <c r="K120" s="2">
        <v>225.8</v>
      </c>
      <c r="L120" s="54" t="s">
        <v>305</v>
      </c>
      <c r="M120" s="2" t="s">
        <v>153</v>
      </c>
      <c r="N120" s="2" t="s">
        <v>154</v>
      </c>
      <c r="O120" s="2">
        <v>0.2</v>
      </c>
      <c r="P120" s="2">
        <v>28.9</v>
      </c>
      <c r="Q120" s="2">
        <v>0.8</v>
      </c>
      <c r="R120" s="54">
        <v>2500000</v>
      </c>
      <c r="S120" s="2" t="s">
        <v>307</v>
      </c>
      <c r="T120" s="54" t="s">
        <v>316</v>
      </c>
      <c r="U120" s="54" t="s">
        <v>157</v>
      </c>
      <c r="V120" s="2">
        <v>230000</v>
      </c>
      <c r="W120" s="2">
        <v>1280</v>
      </c>
      <c r="X120" s="2">
        <v>224</v>
      </c>
      <c r="Y120" s="2">
        <v>50</v>
      </c>
      <c r="Z120" s="2">
        <v>4.0739999999999998</v>
      </c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20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9"/>
    </row>
    <row r="121" spans="1:132">
      <c r="A121" s="1">
        <v>119</v>
      </c>
      <c r="B121" s="2" t="s">
        <v>301</v>
      </c>
      <c r="C121" s="2">
        <v>250624</v>
      </c>
      <c r="D121" s="2" t="s">
        <v>317</v>
      </c>
      <c r="E121" s="2" t="s">
        <v>307</v>
      </c>
      <c r="F121" s="2">
        <v>6.76</v>
      </c>
      <c r="G121" s="2">
        <v>1006.3</v>
      </c>
      <c r="H121" s="2">
        <v>26.6</v>
      </c>
      <c r="I121" s="2">
        <v>46.7</v>
      </c>
      <c r="J121" s="54" t="s">
        <v>151</v>
      </c>
      <c r="K121" s="2">
        <v>260</v>
      </c>
      <c r="L121" s="54" t="s">
        <v>305</v>
      </c>
      <c r="M121" s="2" t="s">
        <v>153</v>
      </c>
      <c r="N121" s="2" t="s">
        <v>154</v>
      </c>
      <c r="O121" s="2">
        <v>0.2</v>
      </c>
      <c r="P121" s="2">
        <v>29.3</v>
      </c>
      <c r="Q121" s="2">
        <v>0.85</v>
      </c>
      <c r="R121" s="54">
        <v>2500000</v>
      </c>
      <c r="S121" s="2" t="s">
        <v>307</v>
      </c>
      <c r="T121" s="54" t="s">
        <v>316</v>
      </c>
      <c r="U121" s="54" t="s">
        <v>157</v>
      </c>
      <c r="V121" s="2">
        <v>230000</v>
      </c>
      <c r="W121" s="2">
        <v>1280</v>
      </c>
      <c r="X121" s="2">
        <v>224</v>
      </c>
      <c r="Y121" s="2">
        <v>50</v>
      </c>
      <c r="Z121" s="2">
        <v>4.0739999999999998</v>
      </c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20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9"/>
    </row>
    <row r="122" spans="1:132">
      <c r="A122" s="1">
        <v>120</v>
      </c>
      <c r="B122" s="2" t="s">
        <v>301</v>
      </c>
      <c r="C122" s="2">
        <v>250624</v>
      </c>
      <c r="D122" s="2" t="s">
        <v>317</v>
      </c>
      <c r="E122" s="2" t="s">
        <v>307</v>
      </c>
      <c r="F122" s="2">
        <v>6.76</v>
      </c>
      <c r="G122" s="2">
        <v>1006.8</v>
      </c>
      <c r="H122" s="2">
        <v>26.4</v>
      </c>
      <c r="I122" s="2">
        <v>49.9</v>
      </c>
      <c r="J122" s="54" t="s">
        <v>151</v>
      </c>
      <c r="K122" s="2">
        <v>235</v>
      </c>
      <c r="L122" s="54" t="s">
        <v>318</v>
      </c>
      <c r="M122" s="2" t="s">
        <v>153</v>
      </c>
      <c r="N122" s="2" t="s">
        <v>154</v>
      </c>
      <c r="O122" s="2">
        <v>0.2</v>
      </c>
      <c r="P122" s="2">
        <v>28.6</v>
      </c>
      <c r="Q122" s="2">
        <v>0.82</v>
      </c>
      <c r="R122" s="54">
        <v>2500000</v>
      </c>
      <c r="S122" s="2" t="s">
        <v>307</v>
      </c>
      <c r="T122" s="54" t="s">
        <v>316</v>
      </c>
      <c r="U122" s="54" t="s">
        <v>157</v>
      </c>
      <c r="V122" s="2">
        <v>230000</v>
      </c>
      <c r="W122" s="2">
        <v>1280</v>
      </c>
      <c r="X122" s="2">
        <v>224</v>
      </c>
      <c r="Y122" s="2">
        <v>50</v>
      </c>
      <c r="Z122" s="2">
        <v>4.0739999999999998</v>
      </c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20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9"/>
    </row>
    <row r="123" spans="1:132">
      <c r="A123" s="68">
        <v>121</v>
      </c>
      <c r="B123" s="2" t="s">
        <v>301</v>
      </c>
      <c r="C123" s="2">
        <v>250624</v>
      </c>
      <c r="D123" s="2" t="s">
        <v>317</v>
      </c>
      <c r="E123" s="2" t="s">
        <v>307</v>
      </c>
      <c r="F123" s="2">
        <v>6.76</v>
      </c>
      <c r="G123" s="2">
        <v>1007.1</v>
      </c>
      <c r="H123" s="2">
        <v>26.1</v>
      </c>
      <c r="I123" s="2">
        <v>52</v>
      </c>
      <c r="J123" s="119" t="s">
        <v>151</v>
      </c>
      <c r="K123" s="2">
        <v>207.8</v>
      </c>
      <c r="L123" s="119" t="s">
        <v>305</v>
      </c>
      <c r="M123" s="2" t="s">
        <v>153</v>
      </c>
      <c r="N123" s="2" t="s">
        <v>154</v>
      </c>
      <c r="O123" s="2">
        <v>0.2</v>
      </c>
      <c r="P123" s="2">
        <v>28.3</v>
      </c>
      <c r="Q123" s="2">
        <v>0.82</v>
      </c>
      <c r="R123" s="119">
        <v>2500000</v>
      </c>
      <c r="S123" s="2" t="s">
        <v>307</v>
      </c>
      <c r="T123" s="119" t="s">
        <v>316</v>
      </c>
      <c r="U123" s="119" t="s">
        <v>157</v>
      </c>
      <c r="V123" s="2">
        <v>230000</v>
      </c>
      <c r="W123" s="2">
        <v>1280</v>
      </c>
      <c r="X123" s="2">
        <v>224</v>
      </c>
      <c r="Y123" s="2">
        <v>50</v>
      </c>
      <c r="Z123" s="2">
        <v>4.0739999999999998</v>
      </c>
      <c r="AA123" s="17">
        <v>1.2</v>
      </c>
      <c r="AB123" s="17">
        <v>28.3</v>
      </c>
      <c r="AC123" s="17">
        <v>123.633563211751</v>
      </c>
      <c r="AD123" s="17">
        <v>1.5744636764504899E-3</v>
      </c>
      <c r="AE123" s="17">
        <v>6.4951610747351802</v>
      </c>
      <c r="AF123" s="17">
        <f>AC123*0.3551+37.829</f>
        <v>81.731278296492775</v>
      </c>
      <c r="AG123" s="17">
        <v>1.2608590875099801</v>
      </c>
      <c r="AH123" s="17">
        <v>1.6</v>
      </c>
      <c r="AI123" s="17">
        <v>1098.4182776801399</v>
      </c>
      <c r="AJ123" s="17">
        <v>0.37080000000000002</v>
      </c>
      <c r="AL123" s="17">
        <v>120000</v>
      </c>
      <c r="AM123" s="17">
        <v>301.45</v>
      </c>
      <c r="AN123" s="17">
        <v>1.38676</v>
      </c>
      <c r="AO123" s="17">
        <v>217003</v>
      </c>
      <c r="AP123" s="17">
        <v>303536</v>
      </c>
      <c r="AQ123" s="17">
        <v>287.05599999999998</v>
      </c>
      <c r="AR123" s="17">
        <v>1.39053</v>
      </c>
      <c r="AS123" s="17">
        <v>1022.1</v>
      </c>
      <c r="AT123" s="17">
        <v>346.834</v>
      </c>
      <c r="AU123" s="17">
        <v>6812.95</v>
      </c>
      <c r="AV123" s="17">
        <v>0</v>
      </c>
      <c r="AW123" s="17">
        <v>0</v>
      </c>
      <c r="AX123" s="17">
        <v>1388510</v>
      </c>
      <c r="AY123" s="17">
        <v>843.58699999999999</v>
      </c>
      <c r="AZ123" s="17">
        <v>5.7340600000000004</v>
      </c>
      <c r="BA123" s="17">
        <v>629362</v>
      </c>
      <c r="BB123" s="17">
        <v>871513</v>
      </c>
      <c r="BC123" s="17">
        <v>287.04899999999998</v>
      </c>
      <c r="BD123" s="17">
        <v>1.34951</v>
      </c>
      <c r="BE123" s="17">
        <v>1108.3499999999999</v>
      </c>
      <c r="BF123" s="17">
        <v>571.62599999999998</v>
      </c>
      <c r="BG123" s="17">
        <v>7190.01</v>
      </c>
      <c r="BH123" s="17">
        <v>265.64699999999999</v>
      </c>
      <c r="BI123" s="17">
        <v>0.46472168865656899</v>
      </c>
      <c r="BJ123" s="17">
        <v>7261310</v>
      </c>
      <c r="BK123" s="17">
        <v>1424.64</v>
      </c>
      <c r="BL123" s="17">
        <v>17.756599999999999</v>
      </c>
      <c r="BM123" s="17">
        <v>1140040</v>
      </c>
      <c r="BN123" s="17">
        <v>1548980</v>
      </c>
      <c r="BO123" s="17">
        <v>287.04399999999998</v>
      </c>
      <c r="BP123" s="17">
        <v>1.3134300000000001</v>
      </c>
      <c r="BQ123" s="17">
        <v>1202.8699999999999</v>
      </c>
      <c r="BR123" s="17">
        <v>731.47799999999995</v>
      </c>
      <c r="BS123" s="17">
        <v>7323.72</v>
      </c>
      <c r="BT123" s="17">
        <v>0</v>
      </c>
      <c r="BU123" s="17">
        <v>0</v>
      </c>
      <c r="BV123" s="120">
        <v>8173130</v>
      </c>
      <c r="BW123" s="17">
        <v>1464.87</v>
      </c>
      <c r="BX123" s="17">
        <v>19.4377</v>
      </c>
      <c r="BY123" s="17">
        <v>1177560</v>
      </c>
      <c r="BZ123" s="17">
        <v>1598040</v>
      </c>
      <c r="CA123" s="17">
        <v>287.041</v>
      </c>
      <c r="CB123" s="17">
        <v>1.31199</v>
      </c>
      <c r="CC123" s="17">
        <v>1207.06</v>
      </c>
      <c r="CD123" s="17">
        <v>741.11199999999997</v>
      </c>
      <c r="CE123" s="17">
        <v>7323.72</v>
      </c>
      <c r="CF123" s="17">
        <v>0</v>
      </c>
      <c r="CG123" s="17">
        <v>0</v>
      </c>
      <c r="CH123" s="17">
        <v>4432640</v>
      </c>
      <c r="CI123" s="17">
        <v>1266.44</v>
      </c>
      <c r="CJ123" s="17">
        <v>12.193300000000001</v>
      </c>
      <c r="CK123" s="17">
        <v>995012</v>
      </c>
      <c r="CL123" s="17">
        <v>1358540</v>
      </c>
      <c r="CM123" s="17">
        <v>287.04899999999998</v>
      </c>
      <c r="CN123" s="17">
        <v>1.32009</v>
      </c>
      <c r="CO123" s="17">
        <v>1183.8399999999999</v>
      </c>
      <c r="CP123" s="17">
        <v>692.096</v>
      </c>
      <c r="CQ123" s="17">
        <v>7323.72</v>
      </c>
      <c r="CR123" s="17">
        <v>692.09500000000003</v>
      </c>
      <c r="CS123" s="17">
        <v>0.99999855511374103</v>
      </c>
      <c r="CT123" s="17">
        <v>1967.72</v>
      </c>
      <c r="CU123" s="17">
        <v>157.82499999999999</v>
      </c>
      <c r="CV123" s="17">
        <v>4.3435099999999997E-2</v>
      </c>
      <c r="CW123" s="17">
        <v>113612</v>
      </c>
      <c r="CX123" s="17">
        <v>158915</v>
      </c>
      <c r="CY123" s="17">
        <v>287.04199999999997</v>
      </c>
      <c r="CZ123" s="17">
        <v>1.3905099999999999</v>
      </c>
      <c r="DA123" s="17">
        <v>1022.09</v>
      </c>
      <c r="DB123" s="17">
        <v>250.959</v>
      </c>
      <c r="DC123" s="17">
        <v>7323.72</v>
      </c>
      <c r="DD123" s="17">
        <v>1696.54</v>
      </c>
      <c r="DE123" s="17">
        <v>6.7602200000000003</v>
      </c>
      <c r="DF123" s="121">
        <f>CV123*DD123/(0.00001716*(CU123/273)^1.5*(273+111)/(CU123+111))</f>
        <v>6839216.4634438464</v>
      </c>
      <c r="DG123" s="121">
        <f>CX123+0.5*DD123^2</f>
        <v>1598038.9857999999</v>
      </c>
      <c r="DI123" s="2">
        <v>121</v>
      </c>
    </row>
    <row r="124" spans="1:132">
      <c r="A124" s="1">
        <v>122</v>
      </c>
      <c r="B124" s="2" t="s">
        <v>301</v>
      </c>
      <c r="C124" s="2">
        <v>250624</v>
      </c>
      <c r="D124" s="54" t="s">
        <v>319</v>
      </c>
      <c r="E124" s="2" t="s">
        <v>307</v>
      </c>
      <c r="F124" s="2">
        <v>6.76</v>
      </c>
      <c r="G124" s="2">
        <v>1007.1</v>
      </c>
      <c r="H124" s="2">
        <v>26</v>
      </c>
      <c r="I124" s="2">
        <v>52.3</v>
      </c>
      <c r="J124" s="54" t="s">
        <v>151</v>
      </c>
      <c r="K124" s="2">
        <v>235</v>
      </c>
      <c r="L124" s="54" t="s">
        <v>305</v>
      </c>
      <c r="M124" s="2" t="s">
        <v>153</v>
      </c>
      <c r="N124" s="2" t="s">
        <v>154</v>
      </c>
      <c r="O124" s="2">
        <v>0.2</v>
      </c>
      <c r="P124" s="2">
        <v>27.8</v>
      </c>
      <c r="Q124" s="2">
        <v>0.92</v>
      </c>
      <c r="R124" s="54">
        <v>2500000</v>
      </c>
      <c r="S124" s="2" t="s">
        <v>307</v>
      </c>
      <c r="T124" s="54" t="s">
        <v>316</v>
      </c>
      <c r="U124" s="54" t="s">
        <v>157</v>
      </c>
      <c r="V124" s="2">
        <v>230000</v>
      </c>
      <c r="W124" s="2">
        <v>1280</v>
      </c>
      <c r="X124" s="2">
        <v>224</v>
      </c>
      <c r="Y124" s="2">
        <v>50</v>
      </c>
      <c r="Z124" s="2">
        <v>4.0739999999999998</v>
      </c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20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9"/>
    </row>
    <row r="125" spans="1:132">
      <c r="A125" s="1">
        <v>123</v>
      </c>
      <c r="B125" s="2" t="s">
        <v>301</v>
      </c>
      <c r="C125" s="2">
        <v>250624</v>
      </c>
      <c r="D125" s="54" t="s">
        <v>319</v>
      </c>
      <c r="E125" s="2" t="s">
        <v>307</v>
      </c>
      <c r="F125" s="2">
        <v>6.76</v>
      </c>
      <c r="G125" s="2">
        <v>1006.7</v>
      </c>
      <c r="H125" s="2">
        <v>26.6</v>
      </c>
      <c r="I125" s="2">
        <v>52.8</v>
      </c>
      <c r="J125" s="54" t="s">
        <v>151</v>
      </c>
      <c r="K125" s="2">
        <v>205.8</v>
      </c>
      <c r="L125" s="54" t="s">
        <v>305</v>
      </c>
      <c r="M125" s="2" t="s">
        <v>153</v>
      </c>
      <c r="N125" s="2" t="s">
        <v>154</v>
      </c>
      <c r="O125" s="2">
        <v>0.2</v>
      </c>
      <c r="P125" s="2">
        <v>28.6</v>
      </c>
      <c r="Q125" s="2">
        <v>0.82</v>
      </c>
      <c r="R125" s="54">
        <v>2500000</v>
      </c>
      <c r="S125" s="2" t="s">
        <v>307</v>
      </c>
      <c r="T125" s="54" t="s">
        <v>316</v>
      </c>
      <c r="U125" s="54" t="s">
        <v>157</v>
      </c>
      <c r="V125" s="2">
        <v>230000</v>
      </c>
      <c r="W125" s="2">
        <v>1280</v>
      </c>
      <c r="X125" s="2">
        <v>224</v>
      </c>
      <c r="Y125" s="2">
        <v>50</v>
      </c>
      <c r="Z125" s="2">
        <v>4.0739999999999998</v>
      </c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20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9"/>
    </row>
    <row r="126" spans="1:132">
      <c r="A126" s="68">
        <v>124</v>
      </c>
      <c r="B126" s="2" t="s">
        <v>301</v>
      </c>
      <c r="C126" s="2">
        <v>250624</v>
      </c>
      <c r="D126" s="119" t="s">
        <v>319</v>
      </c>
      <c r="E126" s="2" t="s">
        <v>307</v>
      </c>
      <c r="F126" s="2">
        <v>6.76</v>
      </c>
      <c r="G126" s="2">
        <v>1006.3</v>
      </c>
      <c r="H126" s="2">
        <v>27.2</v>
      </c>
      <c r="I126" s="2">
        <v>45.6</v>
      </c>
      <c r="J126" s="119" t="s">
        <v>151</v>
      </c>
      <c r="K126" s="2">
        <v>204.9</v>
      </c>
      <c r="L126" s="119" t="s">
        <v>305</v>
      </c>
      <c r="M126" s="2" t="s">
        <v>153</v>
      </c>
      <c r="N126" s="2" t="s">
        <v>154</v>
      </c>
      <c r="O126" s="2">
        <v>0.2</v>
      </c>
      <c r="P126" s="2">
        <v>28.9</v>
      </c>
      <c r="Q126" s="2">
        <v>0.84</v>
      </c>
      <c r="R126" s="119">
        <v>2500000</v>
      </c>
      <c r="S126" s="2" t="s">
        <v>307</v>
      </c>
      <c r="T126" s="119" t="s">
        <v>316</v>
      </c>
      <c r="U126" s="119" t="s">
        <v>157</v>
      </c>
      <c r="V126" s="2">
        <v>230000</v>
      </c>
      <c r="W126" s="2">
        <v>1280</v>
      </c>
      <c r="X126" s="2">
        <v>224</v>
      </c>
      <c r="Y126" s="2">
        <v>50</v>
      </c>
      <c r="Z126" s="2">
        <v>4.0739999999999998</v>
      </c>
      <c r="AA126" s="17">
        <v>1.2</v>
      </c>
      <c r="AB126" s="17">
        <v>28.9</v>
      </c>
      <c r="AC126" s="17">
        <v>114.851256904848</v>
      </c>
      <c r="AD126" s="17">
        <v>1.0928961571822399E-2</v>
      </c>
      <c r="AE126" s="17">
        <v>39.2484955840998</v>
      </c>
      <c r="AF126" s="17">
        <f>AC126*0.3551+37.829</f>
        <v>78.612681326911527</v>
      </c>
      <c r="AG126" s="17">
        <v>1.5456915009691701</v>
      </c>
      <c r="AH126" s="17">
        <v>1.9732000000000001</v>
      </c>
      <c r="AI126" s="17">
        <v>1080.3802938634401</v>
      </c>
      <c r="AJ126" s="17">
        <v>0.37080000000000002</v>
      </c>
      <c r="AL126" s="17">
        <v>120000</v>
      </c>
      <c r="AM126" s="17">
        <v>302.05</v>
      </c>
      <c r="AN126" s="17">
        <v>1.3839999999999999</v>
      </c>
      <c r="AO126" s="17">
        <v>217435</v>
      </c>
      <c r="AP126" s="17">
        <v>304140</v>
      </c>
      <c r="AQ126" s="17">
        <v>287.05599999999998</v>
      </c>
      <c r="AR126" s="17">
        <v>1.39053</v>
      </c>
      <c r="AS126" s="17">
        <v>1022.1</v>
      </c>
      <c r="AT126" s="17">
        <v>347.17899999999997</v>
      </c>
      <c r="AU126" s="17">
        <v>6815.01</v>
      </c>
      <c r="AV126" s="17">
        <v>0</v>
      </c>
      <c r="AW126" s="17">
        <v>0</v>
      </c>
      <c r="AX126" s="17">
        <v>1339370</v>
      </c>
      <c r="AY126" s="17">
        <v>826.58</v>
      </c>
      <c r="AZ126" s="17">
        <v>5.6449800000000003</v>
      </c>
      <c r="BA126" s="17">
        <v>615402</v>
      </c>
      <c r="BB126" s="17">
        <v>852670</v>
      </c>
      <c r="BC126" s="17">
        <v>287.048</v>
      </c>
      <c r="BD126" s="17">
        <v>1.35101</v>
      </c>
      <c r="BE126" s="17">
        <v>1104.82</v>
      </c>
      <c r="BF126" s="17">
        <v>566.14800000000002</v>
      </c>
      <c r="BG126" s="17">
        <v>7177.85</v>
      </c>
      <c r="BH126" s="17">
        <v>264.88099999999997</v>
      </c>
      <c r="BI126" s="17">
        <v>0.46786529317422298</v>
      </c>
      <c r="BJ126" s="17">
        <v>6908690</v>
      </c>
      <c r="BK126" s="17">
        <v>1389.86</v>
      </c>
      <c r="BL126" s="17">
        <v>17.3171</v>
      </c>
      <c r="BM126" s="17">
        <v>1107820</v>
      </c>
      <c r="BN126" s="17">
        <v>1506770</v>
      </c>
      <c r="BO126" s="17">
        <v>287.04500000000002</v>
      </c>
      <c r="BP126" s="17">
        <v>1.31474</v>
      </c>
      <c r="BQ126" s="17">
        <v>1199.05</v>
      </c>
      <c r="BR126" s="17">
        <v>723.03099999999995</v>
      </c>
      <c r="BS126" s="17">
        <v>7308.01</v>
      </c>
      <c r="BT126" s="17">
        <v>0</v>
      </c>
      <c r="BU126" s="17">
        <v>0</v>
      </c>
      <c r="BV126" s="120">
        <v>7861270</v>
      </c>
      <c r="BW126" s="17">
        <v>1432.95</v>
      </c>
      <c r="BX126" s="17">
        <v>19.112300000000001</v>
      </c>
      <c r="BY126" s="17">
        <v>1147770</v>
      </c>
      <c r="BZ126" s="17">
        <v>1559090</v>
      </c>
      <c r="CA126" s="17">
        <v>287.04300000000001</v>
      </c>
      <c r="CB126" s="17">
        <v>1.3131299999999999</v>
      </c>
      <c r="CC126" s="17">
        <v>1203.73</v>
      </c>
      <c r="CD126" s="17">
        <v>733.48299999999995</v>
      </c>
      <c r="CE126" s="17">
        <v>7308.01</v>
      </c>
      <c r="CF126" s="17">
        <v>0</v>
      </c>
      <c r="CG126" s="17">
        <v>0</v>
      </c>
      <c r="CH126" s="17">
        <v>4260390</v>
      </c>
      <c r="CI126" s="17">
        <v>1237.97</v>
      </c>
      <c r="CJ126" s="17">
        <v>11.989000000000001</v>
      </c>
      <c r="CK126" s="17">
        <v>969300</v>
      </c>
      <c r="CL126" s="17">
        <v>1324660</v>
      </c>
      <c r="CM126" s="17">
        <v>287.04899999999998</v>
      </c>
      <c r="CN126" s="17">
        <v>1.3215699999999999</v>
      </c>
      <c r="CO126" s="17">
        <v>1179.69</v>
      </c>
      <c r="CP126" s="17">
        <v>684.73599999999999</v>
      </c>
      <c r="CQ126" s="17">
        <v>7308.01</v>
      </c>
      <c r="CR126" s="17">
        <v>684.73500000000001</v>
      </c>
      <c r="CS126" s="17">
        <v>0.999998539583139</v>
      </c>
      <c r="CT126" s="17">
        <v>1902.3</v>
      </c>
      <c r="CU126" s="17">
        <v>153.98699999999999</v>
      </c>
      <c r="CV126" s="17">
        <v>4.3037800000000001E-2</v>
      </c>
      <c r="CW126" s="17">
        <v>110850</v>
      </c>
      <c r="CX126" s="17">
        <v>155050</v>
      </c>
      <c r="CY126" s="17">
        <v>287.041</v>
      </c>
      <c r="CZ126" s="17">
        <v>1.3905099999999999</v>
      </c>
      <c r="DA126" s="17">
        <v>1022.09</v>
      </c>
      <c r="DB126" s="17">
        <v>247.88900000000001</v>
      </c>
      <c r="DC126" s="17">
        <v>7308.01</v>
      </c>
      <c r="DD126" s="17">
        <v>1675.73</v>
      </c>
      <c r="DE126" s="17">
        <v>6.76</v>
      </c>
      <c r="DF126" s="121">
        <f>CV126*DD126/(0.00001716*(CU126/273)^1.5*(273+111)/(CU126+111))</f>
        <v>6846175.8748878827</v>
      </c>
      <c r="DG126" s="121">
        <f>CX126+0.5*DD126^2</f>
        <v>1559085.51645</v>
      </c>
      <c r="DI126" s="2">
        <v>124</v>
      </c>
    </row>
    <row r="127" spans="1:132">
      <c r="A127" s="1">
        <v>125</v>
      </c>
      <c r="B127" s="2" t="s">
        <v>301</v>
      </c>
      <c r="C127" s="2">
        <v>250702</v>
      </c>
      <c r="D127" s="2" t="s">
        <v>311</v>
      </c>
      <c r="E127" s="2" t="s">
        <v>311</v>
      </c>
      <c r="F127" s="2">
        <v>6.76</v>
      </c>
      <c r="G127" s="2">
        <v>1012</v>
      </c>
      <c r="H127" s="2">
        <v>27.8</v>
      </c>
      <c r="I127" s="2">
        <v>48.1</v>
      </c>
      <c r="J127" s="54" t="s">
        <v>320</v>
      </c>
      <c r="K127" s="2">
        <v>120</v>
      </c>
      <c r="L127" s="54" t="s">
        <v>321</v>
      </c>
      <c r="M127" s="2" t="s">
        <v>153</v>
      </c>
      <c r="N127" s="2" t="s">
        <v>154</v>
      </c>
      <c r="O127" s="2">
        <v>0</v>
      </c>
      <c r="P127" s="2">
        <v>29.6</v>
      </c>
      <c r="Q127" s="2">
        <v>0.9</v>
      </c>
      <c r="R127" s="54">
        <v>2500000</v>
      </c>
      <c r="S127" s="54" t="s">
        <v>155</v>
      </c>
      <c r="T127" s="2" t="s">
        <v>288</v>
      </c>
      <c r="U127" s="54" t="s">
        <v>157</v>
      </c>
      <c r="V127" s="2">
        <v>65000</v>
      </c>
      <c r="W127" s="2" t="s">
        <v>322</v>
      </c>
      <c r="X127" s="2">
        <v>800</v>
      </c>
      <c r="Y127" s="2">
        <v>135</v>
      </c>
      <c r="Z127" s="2" t="s">
        <v>322</v>
      </c>
      <c r="DF127" s="19"/>
    </row>
    <row r="128" spans="1:132">
      <c r="A128" s="1">
        <v>126</v>
      </c>
      <c r="B128" s="2" t="s">
        <v>301</v>
      </c>
      <c r="C128" s="2">
        <v>250702</v>
      </c>
      <c r="D128" s="2" t="s">
        <v>311</v>
      </c>
      <c r="E128" s="2" t="s">
        <v>311</v>
      </c>
      <c r="F128" s="2">
        <v>6.76</v>
      </c>
      <c r="G128" s="2">
        <v>1012</v>
      </c>
      <c r="H128" s="2">
        <v>27.8</v>
      </c>
      <c r="I128" s="2">
        <v>48.1</v>
      </c>
      <c r="J128" s="54" t="s">
        <v>151</v>
      </c>
      <c r="K128" s="2">
        <v>150</v>
      </c>
      <c r="L128" s="54" t="s">
        <v>321</v>
      </c>
      <c r="M128" s="2" t="s">
        <v>153</v>
      </c>
      <c r="N128" s="2" t="s">
        <v>154</v>
      </c>
      <c r="O128" s="2">
        <v>0</v>
      </c>
      <c r="P128" s="2">
        <v>29.6</v>
      </c>
      <c r="Q128" s="2">
        <v>1</v>
      </c>
      <c r="R128" s="54">
        <v>2500000</v>
      </c>
      <c r="S128" s="54" t="s">
        <v>155</v>
      </c>
      <c r="T128" s="2" t="s">
        <v>288</v>
      </c>
      <c r="U128" s="54" t="s">
        <v>157</v>
      </c>
      <c r="V128" s="2">
        <v>65000</v>
      </c>
      <c r="W128" s="2" t="s">
        <v>322</v>
      </c>
      <c r="X128" s="2">
        <v>800</v>
      </c>
      <c r="Y128" s="2">
        <v>135</v>
      </c>
      <c r="Z128" s="2" t="s">
        <v>322</v>
      </c>
      <c r="DF128" s="19"/>
    </row>
    <row r="129" spans="1:117">
      <c r="A129" s="1">
        <v>127</v>
      </c>
      <c r="B129" s="2" t="s">
        <v>323</v>
      </c>
      <c r="C129" s="2">
        <v>250704</v>
      </c>
      <c r="D129" s="2" t="s">
        <v>174</v>
      </c>
      <c r="E129" s="2" t="s">
        <v>324</v>
      </c>
      <c r="F129" s="2">
        <v>6.76</v>
      </c>
      <c r="G129" s="2">
        <v>1005</v>
      </c>
      <c r="H129" s="2">
        <v>26.6</v>
      </c>
      <c r="I129" s="2">
        <v>41.8</v>
      </c>
      <c r="J129" s="2" t="s">
        <v>151</v>
      </c>
      <c r="K129" s="2">
        <v>180.8</v>
      </c>
      <c r="L129" s="2" t="s">
        <v>262</v>
      </c>
      <c r="M129" s="2" t="s">
        <v>153</v>
      </c>
      <c r="N129" s="2" t="s">
        <v>154</v>
      </c>
      <c r="O129" s="2">
        <v>5</v>
      </c>
      <c r="P129" s="2">
        <v>29</v>
      </c>
      <c r="Q129" s="2">
        <v>0.82</v>
      </c>
      <c r="R129" s="54">
        <v>2500000</v>
      </c>
      <c r="S129" s="2" t="s">
        <v>324</v>
      </c>
      <c r="T129" s="2" t="s">
        <v>163</v>
      </c>
      <c r="U129" s="2" t="s">
        <v>157</v>
      </c>
      <c r="V129" s="2">
        <v>10000</v>
      </c>
      <c r="W129" s="2">
        <v>1280</v>
      </c>
      <c r="X129" s="2">
        <v>800</v>
      </c>
      <c r="Y129" s="2" t="s">
        <v>325</v>
      </c>
      <c r="Z129" s="2">
        <v>99</v>
      </c>
      <c r="AA129" s="17">
        <v>5</v>
      </c>
      <c r="AB129" s="17">
        <v>29</v>
      </c>
      <c r="AC129" s="17">
        <v>69.1164048383514</v>
      </c>
      <c r="AD129" s="17">
        <v>1.9591226438018701E-2</v>
      </c>
      <c r="AE129" s="17">
        <v>39.7433114489871</v>
      </c>
      <c r="AF129" s="17">
        <v>64.761021629359107</v>
      </c>
      <c r="AG129" s="17">
        <v>2.60169538450572</v>
      </c>
      <c r="AH129" s="17">
        <v>1.7176</v>
      </c>
      <c r="AI129" s="17">
        <v>644.66219700876695</v>
      </c>
      <c r="AJ129" s="17">
        <v>1.2263999999999999</v>
      </c>
      <c r="AK129" s="17">
        <v>0.31519999999999998</v>
      </c>
      <c r="AL129" s="3">
        <v>500000</v>
      </c>
      <c r="AM129" s="3">
        <v>302.14999999999998</v>
      </c>
      <c r="AN129" s="3">
        <v>5.7647199999999996</v>
      </c>
      <c r="AO129" s="2">
        <v>217507</v>
      </c>
      <c r="AP129" s="2">
        <v>304241</v>
      </c>
      <c r="AQ129" s="2">
        <v>287.05799999999999</v>
      </c>
      <c r="AR129" s="2">
        <v>1.39053</v>
      </c>
      <c r="AS129" s="2">
        <v>1022.1</v>
      </c>
      <c r="AT129" s="2">
        <v>347.238</v>
      </c>
      <c r="AU129" s="2">
        <v>6405.77</v>
      </c>
      <c r="AV129" s="3">
        <v>0</v>
      </c>
      <c r="AW129" s="2">
        <v>0</v>
      </c>
      <c r="AX129" s="3">
        <v>1915030</v>
      </c>
      <c r="AY129" s="3">
        <v>473.73599999999999</v>
      </c>
      <c r="AZ129" s="3">
        <v>14.0822</v>
      </c>
      <c r="BA129" s="2">
        <v>341225</v>
      </c>
      <c r="BB129" s="2">
        <v>477214</v>
      </c>
      <c r="BC129" s="2">
        <v>287.05599999999998</v>
      </c>
      <c r="BD129" s="2">
        <v>1.3896599999999999</v>
      </c>
      <c r="BE129" s="2">
        <v>1023.73</v>
      </c>
      <c r="BF129" s="2">
        <v>434.66699999999997</v>
      </c>
      <c r="BG129" s="2">
        <v>6485.29</v>
      </c>
      <c r="BH129" s="2">
        <v>263.89999999999998</v>
      </c>
      <c r="BI129" s="2">
        <v>0.60713143624889898</v>
      </c>
      <c r="BJ129" s="3">
        <v>5746240</v>
      </c>
      <c r="BK129" s="3">
        <v>664.64200000000005</v>
      </c>
      <c r="BL129" s="2">
        <v>30.118500000000001</v>
      </c>
      <c r="BM129" s="2">
        <v>486059</v>
      </c>
      <c r="BN129" s="2">
        <v>676847</v>
      </c>
      <c r="BO129" s="2">
        <v>287.05399999999997</v>
      </c>
      <c r="BP129" s="2">
        <v>1.36835</v>
      </c>
      <c r="BQ129" s="2">
        <v>1066.3599999999999</v>
      </c>
      <c r="BR129" s="2">
        <v>510.97899999999998</v>
      </c>
      <c r="BS129" s="2">
        <v>6523.17</v>
      </c>
      <c r="BT129" s="2">
        <v>0</v>
      </c>
      <c r="BU129" s="2">
        <v>0</v>
      </c>
      <c r="BV129" s="86">
        <v>6476100</v>
      </c>
      <c r="BW129" s="2">
        <v>686.35199999999998</v>
      </c>
      <c r="BX129" s="2">
        <v>32.8703</v>
      </c>
      <c r="BY129" s="2">
        <v>503115</v>
      </c>
      <c r="BZ129" s="2">
        <v>700135</v>
      </c>
      <c r="CA129" s="2">
        <v>287.05399999999997</v>
      </c>
      <c r="CB129" s="2">
        <v>1.3659600000000001</v>
      </c>
      <c r="CC129" s="2">
        <v>1071.44</v>
      </c>
      <c r="CD129" s="2">
        <v>518.81200000000001</v>
      </c>
      <c r="CE129" s="2">
        <v>6523.17</v>
      </c>
      <c r="CF129" s="2">
        <v>0</v>
      </c>
      <c r="CG129" s="2">
        <v>0</v>
      </c>
      <c r="CH129" s="2">
        <v>3440310</v>
      </c>
      <c r="CI129" s="2">
        <v>578.09299999999996</v>
      </c>
      <c r="CJ129" s="2">
        <v>20.7318</v>
      </c>
      <c r="CK129" s="2">
        <v>419852</v>
      </c>
      <c r="CL129" s="2">
        <v>585795</v>
      </c>
      <c r="CM129" s="2">
        <v>287.05399999999997</v>
      </c>
      <c r="CN129" s="2">
        <v>1.3777900000000001</v>
      </c>
      <c r="CO129" s="2">
        <v>1046.8699999999999</v>
      </c>
      <c r="CP129" s="2">
        <v>478.20499999999998</v>
      </c>
      <c r="CQ129" s="2">
        <v>6523.17</v>
      </c>
      <c r="CR129" s="2">
        <v>478.20400000000001</v>
      </c>
      <c r="CS129" s="2">
        <v>0.99999790884662398</v>
      </c>
      <c r="CT129" s="2">
        <v>1633.85</v>
      </c>
      <c r="CU129" s="3">
        <v>69.1584</v>
      </c>
      <c r="CV129" s="2">
        <v>8.22991E-2</v>
      </c>
      <c r="CW129" s="2">
        <v>49784.6</v>
      </c>
      <c r="CX129" s="2">
        <v>69637.100000000006</v>
      </c>
      <c r="CY129" s="2">
        <v>287.05900000000003</v>
      </c>
      <c r="CZ129" s="2">
        <v>1.39053</v>
      </c>
      <c r="DA129" s="2">
        <v>1022.1</v>
      </c>
      <c r="DB129" s="2">
        <v>166.126</v>
      </c>
      <c r="DC129" s="2">
        <v>6523.17</v>
      </c>
      <c r="DD129" s="2">
        <v>1122.94</v>
      </c>
      <c r="DE129" s="2">
        <v>6.7595700000000001</v>
      </c>
      <c r="DF129" s="57">
        <f t="shared" ref="DF129:DF137" si="50">CV129*DD129/(0.00001716*(CU129/273)^1.5*(273+111)/(CU129+111))</f>
        <v>19816831.243397593</v>
      </c>
      <c r="DG129" s="57">
        <f t="shared" ref="DG129:DG137" si="51">CX129+0.5*DD129^2</f>
        <v>700134.22180000006</v>
      </c>
    </row>
    <row r="130" spans="1:117" s="3" customFormat="1">
      <c r="A130" s="85">
        <v>128</v>
      </c>
      <c r="B130" s="3" t="s">
        <v>326</v>
      </c>
      <c r="C130" s="3">
        <v>250718</v>
      </c>
      <c r="D130" s="3" t="s">
        <v>327</v>
      </c>
      <c r="E130" s="122" t="s">
        <v>150</v>
      </c>
      <c r="F130" s="3">
        <v>6.76</v>
      </c>
      <c r="G130" s="3">
        <v>1005.1</v>
      </c>
      <c r="H130" s="3">
        <v>22.8</v>
      </c>
      <c r="I130" s="3">
        <v>55.9</v>
      </c>
      <c r="J130" s="3" t="s">
        <v>151</v>
      </c>
      <c r="K130" s="3">
        <v>252.2</v>
      </c>
      <c r="L130" s="122" t="s">
        <v>305</v>
      </c>
      <c r="M130" s="3" t="s">
        <v>153</v>
      </c>
      <c r="N130" s="3" t="s">
        <v>154</v>
      </c>
      <c r="O130" s="3">
        <v>0.2</v>
      </c>
      <c r="P130" s="3">
        <v>24.3</v>
      </c>
      <c r="Q130" s="3">
        <v>0.96</v>
      </c>
      <c r="R130" s="122">
        <v>2500000</v>
      </c>
      <c r="S130" s="122" t="s">
        <v>155</v>
      </c>
      <c r="T130" s="122" t="s">
        <v>328</v>
      </c>
      <c r="U130" s="3" t="s">
        <v>157</v>
      </c>
      <c r="V130" s="122">
        <v>1500000</v>
      </c>
      <c r="W130" s="122">
        <v>1280</v>
      </c>
      <c r="X130" s="122">
        <v>32</v>
      </c>
      <c r="Y130" s="122" t="s">
        <v>158</v>
      </c>
      <c r="Z130" s="122">
        <v>9.5000000000000001E-2</v>
      </c>
      <c r="AA130" s="3">
        <f t="shared" ref="AA130:AA138" si="52">O130+1</f>
        <v>1.2</v>
      </c>
      <c r="AB130" s="63">
        <f t="shared" ref="AB130:AB138" si="53">P130</f>
        <v>24.3</v>
      </c>
      <c r="AC130" s="18">
        <v>125.593835162283</v>
      </c>
      <c r="AF130" s="18">
        <f>AC130*0.3551+37.829</f>
        <v>82.427370866126694</v>
      </c>
      <c r="AG130" s="18">
        <v>1.2446713847580699</v>
      </c>
      <c r="AH130" s="18">
        <v>2.2000000000000002</v>
      </c>
      <c r="AI130" s="18">
        <v>1096.4912280701701</v>
      </c>
      <c r="AJ130" s="18">
        <v>0.81319999999999903</v>
      </c>
      <c r="AK130" s="18">
        <v>0.40919999999999901</v>
      </c>
      <c r="AL130" s="3">
        <v>120000</v>
      </c>
      <c r="AM130" s="3">
        <v>297.45</v>
      </c>
      <c r="AN130" s="3">
        <v>1.40541</v>
      </c>
      <c r="AO130" s="3">
        <v>214123</v>
      </c>
      <c r="AP130" s="3">
        <v>299508</v>
      </c>
      <c r="AQ130" s="3">
        <v>287.05500000000001</v>
      </c>
      <c r="AR130" s="3">
        <v>1.39053</v>
      </c>
      <c r="AS130" s="3">
        <v>1022.1</v>
      </c>
      <c r="AT130" s="3">
        <v>344.52499999999998</v>
      </c>
      <c r="AU130" s="3">
        <v>6799.15</v>
      </c>
      <c r="AV130" s="3">
        <v>0</v>
      </c>
      <c r="AW130" s="3">
        <v>0</v>
      </c>
      <c r="AX130" s="3">
        <v>1402150</v>
      </c>
      <c r="AY130" s="3">
        <v>838.32899999999995</v>
      </c>
      <c r="AZ130" s="3">
        <v>5.8267300000000004</v>
      </c>
      <c r="BA130" s="3">
        <v>625040</v>
      </c>
      <c r="BB130" s="3">
        <v>865681</v>
      </c>
      <c r="BC130" s="3">
        <v>287.04899999999998</v>
      </c>
      <c r="BD130" s="3">
        <v>1.3499699999999999</v>
      </c>
      <c r="BE130" s="3">
        <v>1107.26</v>
      </c>
      <c r="BF130" s="3">
        <v>569.93899999999996</v>
      </c>
      <c r="BG130" s="3">
        <v>7180.28</v>
      </c>
      <c r="BH130" s="3">
        <v>264.47300000000001</v>
      </c>
      <c r="BI130" s="3">
        <v>0.46403737943885198</v>
      </c>
      <c r="BJ130" s="3">
        <v>7355400</v>
      </c>
      <c r="BK130" s="3">
        <v>1418.31</v>
      </c>
      <c r="BL130" s="3">
        <v>18.067</v>
      </c>
      <c r="BM130" s="3">
        <v>1134170</v>
      </c>
      <c r="BN130" s="3">
        <v>1541290</v>
      </c>
      <c r="BO130" s="3">
        <v>287.04399999999998</v>
      </c>
      <c r="BP130" s="3">
        <v>1.31365</v>
      </c>
      <c r="BQ130" s="3">
        <v>1202.21</v>
      </c>
      <c r="BR130" s="3">
        <v>729.94799999999998</v>
      </c>
      <c r="BS130" s="3">
        <v>7314.62</v>
      </c>
      <c r="BT130" s="3">
        <v>0</v>
      </c>
      <c r="BU130" s="3">
        <v>0</v>
      </c>
      <c r="BV130" s="86">
        <v>8242740</v>
      </c>
      <c r="BW130" s="3">
        <v>1456.91</v>
      </c>
      <c r="BX130" s="3">
        <v>19.7104</v>
      </c>
      <c r="BY130" s="3">
        <v>1170110</v>
      </c>
      <c r="BZ130" s="3">
        <v>1588300</v>
      </c>
      <c r="CA130" s="3">
        <v>287.041</v>
      </c>
      <c r="CB130" s="3">
        <v>1.3122799999999999</v>
      </c>
      <c r="CC130" s="3">
        <v>1206.23</v>
      </c>
      <c r="CD130" s="3">
        <v>739.21900000000005</v>
      </c>
      <c r="CE130" s="3">
        <v>7314.62</v>
      </c>
      <c r="CF130" s="3">
        <v>0</v>
      </c>
      <c r="CG130" s="3">
        <v>0</v>
      </c>
      <c r="CH130" s="3">
        <v>4469670</v>
      </c>
      <c r="CI130" s="3">
        <v>1259.32</v>
      </c>
      <c r="CJ130" s="3">
        <v>12.364699999999999</v>
      </c>
      <c r="CK130" s="3">
        <v>988585</v>
      </c>
      <c r="CL130" s="3">
        <v>1350070</v>
      </c>
      <c r="CM130" s="3">
        <v>287.04899999999998</v>
      </c>
      <c r="CN130" s="3">
        <v>1.3204199999999999</v>
      </c>
      <c r="CO130" s="3">
        <v>1182.8900000000001</v>
      </c>
      <c r="CP130" s="3">
        <v>690.26099999999997</v>
      </c>
      <c r="CQ130" s="3">
        <v>7314.62</v>
      </c>
      <c r="CR130" s="3">
        <v>690.26</v>
      </c>
      <c r="CS130" s="3">
        <v>0.99999855127263504</v>
      </c>
      <c r="CT130" s="3">
        <v>1986.3</v>
      </c>
      <c r="CU130" s="3">
        <v>156.857</v>
      </c>
      <c r="CV130" s="3">
        <v>4.4116000000000002E-2</v>
      </c>
      <c r="CW130" s="3">
        <v>112915</v>
      </c>
      <c r="CX130" s="3">
        <v>157940</v>
      </c>
      <c r="CY130" s="3">
        <v>287.04300000000001</v>
      </c>
      <c r="CZ130" s="3">
        <v>1.3905099999999999</v>
      </c>
      <c r="DA130" s="3">
        <v>1022.09</v>
      </c>
      <c r="DB130" s="3">
        <v>250.18799999999999</v>
      </c>
      <c r="DC130" s="3">
        <v>7314.63</v>
      </c>
      <c r="DD130" s="3">
        <v>1691.37</v>
      </c>
      <c r="DE130" s="3">
        <v>6.7603799999999996</v>
      </c>
      <c r="DF130" s="123">
        <f t="shared" si="50"/>
        <v>6964298.181922487</v>
      </c>
      <c r="DG130" s="123">
        <f t="shared" si="51"/>
        <v>1588306.2384499998</v>
      </c>
      <c r="DH130" s="64"/>
      <c r="DK130" s="3">
        <v>1663</v>
      </c>
      <c r="DL130" s="124">
        <f t="shared" ref="DL130:DL135" si="54">DK130+AK130/1000*V130</f>
        <v>2276.7999999999984</v>
      </c>
      <c r="DM130" s="124">
        <f t="shared" ref="DM130:DM135" si="55">DL130+AH130/1000*V130</f>
        <v>5576.7999999999984</v>
      </c>
    </row>
    <row r="131" spans="1:117" s="3" customFormat="1">
      <c r="A131" s="85">
        <v>129</v>
      </c>
      <c r="B131" s="3" t="s">
        <v>326</v>
      </c>
      <c r="C131" s="3">
        <v>250718</v>
      </c>
      <c r="D131" s="3" t="s">
        <v>327</v>
      </c>
      <c r="E131" s="122" t="s">
        <v>150</v>
      </c>
      <c r="F131" s="3">
        <v>6.76</v>
      </c>
      <c r="G131" s="3">
        <v>1005</v>
      </c>
      <c r="H131" s="3">
        <v>23</v>
      </c>
      <c r="I131" s="3">
        <v>54.9</v>
      </c>
      <c r="J131" s="3" t="s">
        <v>151</v>
      </c>
      <c r="K131" s="3">
        <v>233.8</v>
      </c>
      <c r="L131" s="122" t="s">
        <v>305</v>
      </c>
      <c r="M131" s="3" t="s">
        <v>153</v>
      </c>
      <c r="N131" s="3" t="s">
        <v>154</v>
      </c>
      <c r="O131" s="3">
        <v>0.2</v>
      </c>
      <c r="P131" s="3">
        <v>23.7</v>
      </c>
      <c r="Q131" s="3">
        <v>0.99</v>
      </c>
      <c r="R131" s="122">
        <v>2500000</v>
      </c>
      <c r="S131" s="122" t="s">
        <v>155</v>
      </c>
      <c r="T131" s="122" t="s">
        <v>329</v>
      </c>
      <c r="U131" s="3" t="s">
        <v>157</v>
      </c>
      <c r="V131" s="122">
        <v>1500000</v>
      </c>
      <c r="W131" s="122">
        <v>1280</v>
      </c>
      <c r="X131" s="122">
        <v>32</v>
      </c>
      <c r="Y131" s="122" t="s">
        <v>158</v>
      </c>
      <c r="Z131" s="122">
        <v>9.5000000000000001E-2</v>
      </c>
      <c r="AA131" s="3">
        <f t="shared" si="52"/>
        <v>1.2</v>
      </c>
      <c r="AB131" s="63">
        <f t="shared" si="53"/>
        <v>23.7</v>
      </c>
      <c r="AC131" s="18">
        <v>115.165651626959</v>
      </c>
      <c r="AF131" s="18">
        <f>AC131*0.3551+37.829</f>
        <v>78.724322892733142</v>
      </c>
      <c r="AG131" s="18">
        <v>1.35565843138105</v>
      </c>
      <c r="AH131" s="18">
        <v>2</v>
      </c>
      <c r="AI131" s="18">
        <v>1086.95652173913</v>
      </c>
      <c r="AJ131" s="18">
        <v>0.82279999999999998</v>
      </c>
      <c r="AK131" s="18">
        <v>0.38919999999999999</v>
      </c>
      <c r="AL131" s="3">
        <v>120000</v>
      </c>
      <c r="AM131" s="3">
        <v>296.85000000000002</v>
      </c>
      <c r="AN131" s="3">
        <v>1.40825</v>
      </c>
      <c r="AO131" s="3">
        <v>213691</v>
      </c>
      <c r="AP131" s="3">
        <v>298904</v>
      </c>
      <c r="AQ131" s="3">
        <v>287.05500000000001</v>
      </c>
      <c r="AR131" s="3">
        <v>1.39053</v>
      </c>
      <c r="AS131" s="3">
        <v>1022.1</v>
      </c>
      <c r="AT131" s="3">
        <v>344.17700000000002</v>
      </c>
      <c r="AU131" s="3">
        <v>6797.06</v>
      </c>
      <c r="AV131" s="3">
        <v>0</v>
      </c>
      <c r="AW131" s="3">
        <v>0</v>
      </c>
      <c r="AX131" s="3">
        <v>1380000</v>
      </c>
      <c r="AY131" s="3">
        <v>828.54499999999996</v>
      </c>
      <c r="AZ131" s="3">
        <v>5.8024100000000001</v>
      </c>
      <c r="BA131" s="3">
        <v>617012</v>
      </c>
      <c r="BB131" s="3">
        <v>854845</v>
      </c>
      <c r="BC131" s="3">
        <v>287.048</v>
      </c>
      <c r="BD131" s="3">
        <v>1.35084</v>
      </c>
      <c r="BE131" s="3">
        <v>1105.22</v>
      </c>
      <c r="BF131" s="3">
        <v>566.78499999999997</v>
      </c>
      <c r="BG131" s="3">
        <v>7171.89</v>
      </c>
      <c r="BH131" s="3">
        <v>263.80500000000001</v>
      </c>
      <c r="BI131" s="3">
        <v>0.46544104025335897</v>
      </c>
      <c r="BJ131" s="3">
        <v>7194890</v>
      </c>
      <c r="BK131" s="3">
        <v>1399.29</v>
      </c>
      <c r="BL131" s="3">
        <v>17.9129</v>
      </c>
      <c r="BM131" s="3">
        <v>1116570</v>
      </c>
      <c r="BN131" s="3">
        <v>1518230</v>
      </c>
      <c r="BO131" s="3">
        <v>287.04500000000002</v>
      </c>
      <c r="BP131" s="3">
        <v>1.31433</v>
      </c>
      <c r="BQ131" s="3">
        <v>1200.23</v>
      </c>
      <c r="BR131" s="3">
        <v>725.32299999999998</v>
      </c>
      <c r="BS131" s="3">
        <v>7304.59</v>
      </c>
      <c r="BT131" s="3">
        <v>0</v>
      </c>
      <c r="BU131" s="3">
        <v>0</v>
      </c>
      <c r="BV131" s="86">
        <v>7872430</v>
      </c>
      <c r="BW131" s="3">
        <v>1429.41</v>
      </c>
      <c r="BX131" s="3">
        <v>19.186900000000001</v>
      </c>
      <c r="BY131" s="3">
        <v>1144470</v>
      </c>
      <c r="BZ131" s="3">
        <v>1554770</v>
      </c>
      <c r="CA131" s="3">
        <v>287.04300000000001</v>
      </c>
      <c r="CB131" s="3">
        <v>1.3132600000000001</v>
      </c>
      <c r="CC131" s="3">
        <v>1203.3599999999999</v>
      </c>
      <c r="CD131" s="3">
        <v>732.62900000000002</v>
      </c>
      <c r="CE131" s="3">
        <v>7304.59</v>
      </c>
      <c r="CF131" s="3">
        <v>0</v>
      </c>
      <c r="CG131" s="3">
        <v>0</v>
      </c>
      <c r="CH131" s="3">
        <v>4266070</v>
      </c>
      <c r="CI131" s="3">
        <v>1234.81</v>
      </c>
      <c r="CJ131" s="3">
        <v>12.0357</v>
      </c>
      <c r="CK131" s="3">
        <v>966455</v>
      </c>
      <c r="CL131" s="3">
        <v>1320910</v>
      </c>
      <c r="CM131" s="3">
        <v>287.04899999999998</v>
      </c>
      <c r="CN131" s="3">
        <v>1.3217399999999999</v>
      </c>
      <c r="CO131" s="3">
        <v>1179.22</v>
      </c>
      <c r="CP131" s="3">
        <v>683.91399999999999</v>
      </c>
      <c r="CQ131" s="3">
        <v>7304.59</v>
      </c>
      <c r="CR131" s="3">
        <v>683.91300000000001</v>
      </c>
      <c r="CS131" s="3">
        <v>0.99999853782785497</v>
      </c>
      <c r="CT131" s="3">
        <v>1905.15</v>
      </c>
      <c r="CU131" s="3">
        <v>153.54599999999999</v>
      </c>
      <c r="CV131" s="3">
        <v>4.3226000000000001E-2</v>
      </c>
      <c r="CW131" s="3">
        <v>110532</v>
      </c>
      <c r="CX131" s="3">
        <v>154606</v>
      </c>
      <c r="CY131" s="3">
        <v>287.04199999999997</v>
      </c>
      <c r="CZ131" s="3">
        <v>1.3905099999999999</v>
      </c>
      <c r="DA131" s="3">
        <v>1022.09</v>
      </c>
      <c r="DB131" s="3">
        <v>247.53399999999999</v>
      </c>
      <c r="DC131" s="3">
        <v>7304.59</v>
      </c>
      <c r="DD131" s="3">
        <v>1673.42</v>
      </c>
      <c r="DE131" s="3">
        <v>6.76037</v>
      </c>
      <c r="DF131" s="123">
        <f t="shared" si="50"/>
        <v>6884761.5845181486</v>
      </c>
      <c r="DG131" s="123">
        <f t="shared" si="51"/>
        <v>1554773.2482</v>
      </c>
      <c r="DH131" s="64"/>
      <c r="DK131" s="3">
        <v>1503</v>
      </c>
      <c r="DL131" s="124">
        <f t="shared" si="54"/>
        <v>2086.8000000000002</v>
      </c>
      <c r="DM131" s="124">
        <f t="shared" si="55"/>
        <v>5086.8</v>
      </c>
    </row>
    <row r="132" spans="1:117" s="3" customFormat="1">
      <c r="A132" s="85">
        <v>130</v>
      </c>
      <c r="B132" s="3" t="s">
        <v>326</v>
      </c>
      <c r="C132" s="3">
        <v>250718</v>
      </c>
      <c r="D132" s="3" t="s">
        <v>327</v>
      </c>
      <c r="E132" s="122" t="s">
        <v>150</v>
      </c>
      <c r="F132" s="3">
        <v>6.76</v>
      </c>
      <c r="G132" s="3">
        <v>1005.8</v>
      </c>
      <c r="H132" s="3">
        <v>22.8</v>
      </c>
      <c r="I132" s="3">
        <v>55.1</v>
      </c>
      <c r="J132" s="3" t="s">
        <v>151</v>
      </c>
      <c r="K132" s="3">
        <v>212.3</v>
      </c>
      <c r="L132" s="122" t="s">
        <v>305</v>
      </c>
      <c r="M132" s="3" t="s">
        <v>153</v>
      </c>
      <c r="N132" s="3" t="s">
        <v>154</v>
      </c>
      <c r="O132" s="3">
        <v>0.2</v>
      </c>
      <c r="P132" s="3">
        <v>23.2</v>
      </c>
      <c r="Q132" s="3">
        <v>0.98</v>
      </c>
      <c r="R132" s="122">
        <v>2500000</v>
      </c>
      <c r="S132" s="122" t="s">
        <v>155</v>
      </c>
      <c r="T132" s="122" t="s">
        <v>330</v>
      </c>
      <c r="U132" s="3" t="s">
        <v>157</v>
      </c>
      <c r="V132" s="122">
        <v>1500000</v>
      </c>
      <c r="W132" s="122">
        <v>1280</v>
      </c>
      <c r="X132" s="122">
        <v>32</v>
      </c>
      <c r="Y132" s="122" t="s">
        <v>158</v>
      </c>
      <c r="Z132" s="122">
        <v>9.5000000000000001E-2</v>
      </c>
      <c r="AA132" s="3">
        <f t="shared" si="52"/>
        <v>1.2</v>
      </c>
      <c r="AB132" s="63">
        <f t="shared" si="53"/>
        <v>23.2</v>
      </c>
      <c r="AC132" s="18">
        <v>131.789219617008</v>
      </c>
      <c r="AF132" s="18">
        <f>AC132*0.3551+37.829</f>
        <v>84.627351885999545</v>
      </c>
      <c r="AG132" s="18">
        <v>1.4680577703081701</v>
      </c>
      <c r="AH132" s="18">
        <v>2.1</v>
      </c>
      <c r="AI132" s="18">
        <v>1124.1007194244601</v>
      </c>
      <c r="AJ132" s="18">
        <v>0.80320000000000003</v>
      </c>
      <c r="AK132" s="18">
        <v>0.333200000000001</v>
      </c>
      <c r="AL132" s="3">
        <v>120000</v>
      </c>
      <c r="AM132" s="3">
        <v>296.35000000000002</v>
      </c>
      <c r="AN132" s="3">
        <v>1.41062</v>
      </c>
      <c r="AO132" s="3">
        <v>213331</v>
      </c>
      <c r="AP132" s="3">
        <v>298400</v>
      </c>
      <c r="AQ132" s="3">
        <v>287.05500000000001</v>
      </c>
      <c r="AR132" s="3">
        <v>1.39053</v>
      </c>
      <c r="AS132" s="3">
        <v>1022.1</v>
      </c>
      <c r="AT132" s="3">
        <v>343.887</v>
      </c>
      <c r="AU132" s="3">
        <v>6795.32</v>
      </c>
      <c r="AV132" s="3">
        <v>0</v>
      </c>
      <c r="AW132" s="3">
        <v>0</v>
      </c>
      <c r="AX132" s="3">
        <v>1481140</v>
      </c>
      <c r="AY132" s="3">
        <v>864.62300000000005</v>
      </c>
      <c r="AZ132" s="3">
        <v>5.96774</v>
      </c>
      <c r="BA132" s="3">
        <v>646711</v>
      </c>
      <c r="BB132" s="3">
        <v>894901</v>
      </c>
      <c r="BC132" s="3">
        <v>287.05</v>
      </c>
      <c r="BD132" s="3">
        <v>1.34765</v>
      </c>
      <c r="BE132" s="3">
        <v>1112.74</v>
      </c>
      <c r="BF132" s="3">
        <v>578.30999999999995</v>
      </c>
      <c r="BG132" s="3">
        <v>7198.8</v>
      </c>
      <c r="BH132" s="3">
        <v>265.709</v>
      </c>
      <c r="BI132" s="3">
        <v>0.45945773028306602</v>
      </c>
      <c r="BJ132" s="3">
        <v>7928780</v>
      </c>
      <c r="BK132" s="3">
        <v>1472.12</v>
      </c>
      <c r="BL132" s="3">
        <v>18.7637</v>
      </c>
      <c r="BM132" s="3">
        <v>1184360</v>
      </c>
      <c r="BN132" s="3">
        <v>1606920</v>
      </c>
      <c r="BO132" s="3">
        <v>287.041</v>
      </c>
      <c r="BP132" s="3">
        <v>1.3117399999999999</v>
      </c>
      <c r="BQ132" s="3">
        <v>1207.82</v>
      </c>
      <c r="BR132" s="3">
        <v>742.83100000000002</v>
      </c>
      <c r="BS132" s="3">
        <v>7338.48</v>
      </c>
      <c r="BT132" s="3">
        <v>0</v>
      </c>
      <c r="BU132" s="3">
        <v>0</v>
      </c>
      <c r="BV132" s="86">
        <v>8462740</v>
      </c>
      <c r="BW132" s="3">
        <v>1494.73</v>
      </c>
      <c r="BX132" s="3">
        <v>19.724599999999999</v>
      </c>
      <c r="BY132" s="3">
        <v>1205630</v>
      </c>
      <c r="BZ132" s="3">
        <v>1634670</v>
      </c>
      <c r="CA132" s="3">
        <v>287.03800000000001</v>
      </c>
      <c r="CB132" s="3">
        <v>1.3109299999999999</v>
      </c>
      <c r="CC132" s="3">
        <v>1210.2</v>
      </c>
      <c r="CD132" s="3">
        <v>748.15499999999997</v>
      </c>
      <c r="CE132" s="3">
        <v>7338.48</v>
      </c>
      <c r="CF132" s="3">
        <v>0</v>
      </c>
      <c r="CG132" s="3">
        <v>0</v>
      </c>
      <c r="CH132" s="3">
        <v>4591760</v>
      </c>
      <c r="CI132" s="3">
        <v>1293.2</v>
      </c>
      <c r="CJ132" s="3">
        <v>12.3697</v>
      </c>
      <c r="CK132" s="3">
        <v>1019190</v>
      </c>
      <c r="CL132" s="3">
        <v>1390400</v>
      </c>
      <c r="CM132" s="3">
        <v>287.04899999999998</v>
      </c>
      <c r="CN132" s="3">
        <v>1.3189299999999999</v>
      </c>
      <c r="CO132" s="3">
        <v>1187.0999999999999</v>
      </c>
      <c r="CP132" s="3">
        <v>698.95399999999995</v>
      </c>
      <c r="CQ132" s="3">
        <v>7338.48</v>
      </c>
      <c r="CR132" s="3">
        <v>698.95399999999995</v>
      </c>
      <c r="CS132" s="3">
        <v>1</v>
      </c>
      <c r="CT132" s="3">
        <v>2029.12</v>
      </c>
      <c r="CU132" s="3">
        <v>161.46899999999999</v>
      </c>
      <c r="CV132" s="3">
        <v>4.3779600000000002E-2</v>
      </c>
      <c r="CW132" s="3">
        <v>116235</v>
      </c>
      <c r="CX132" s="3">
        <v>162584</v>
      </c>
      <c r="CY132" s="3">
        <v>287.04300000000001</v>
      </c>
      <c r="CZ132" s="3">
        <v>1.3905099999999999</v>
      </c>
      <c r="DA132" s="3">
        <v>1022.09</v>
      </c>
      <c r="DB132" s="3">
        <v>253.84</v>
      </c>
      <c r="DC132" s="3">
        <v>7338.48</v>
      </c>
      <c r="DD132" s="3">
        <v>1715.86</v>
      </c>
      <c r="DE132" s="3">
        <v>6.75962</v>
      </c>
      <c r="DF132" s="123">
        <f t="shared" si="50"/>
        <v>6828612.4636873957</v>
      </c>
      <c r="DG132" s="123">
        <f t="shared" si="51"/>
        <v>1634671.7697999999</v>
      </c>
      <c r="DH132" s="64"/>
      <c r="DK132" s="3">
        <v>1395</v>
      </c>
      <c r="DL132" s="124">
        <f t="shared" si="54"/>
        <v>1894.8000000000015</v>
      </c>
      <c r="DM132" s="124">
        <f t="shared" si="55"/>
        <v>5044.800000000002</v>
      </c>
    </row>
    <row r="133" spans="1:117" s="3" customFormat="1">
      <c r="A133" s="85">
        <v>131</v>
      </c>
      <c r="B133" s="3" t="s">
        <v>331</v>
      </c>
      <c r="C133" s="3">
        <v>250723</v>
      </c>
      <c r="D133" s="3" t="s">
        <v>327</v>
      </c>
      <c r="E133" s="122" t="s">
        <v>150</v>
      </c>
      <c r="F133" s="3">
        <v>6.76</v>
      </c>
      <c r="G133" s="3">
        <v>1011.9</v>
      </c>
      <c r="H133" s="3">
        <v>23.8</v>
      </c>
      <c r="I133" s="3">
        <v>52.5</v>
      </c>
      <c r="J133" s="3" t="s">
        <v>151</v>
      </c>
      <c r="K133" s="3">
        <v>231</v>
      </c>
      <c r="L133" s="122" t="s">
        <v>305</v>
      </c>
      <c r="M133" s="3" t="s">
        <v>153</v>
      </c>
      <c r="N133" s="3" t="s">
        <v>154</v>
      </c>
      <c r="O133" s="3">
        <v>0.2</v>
      </c>
      <c r="P133" s="3">
        <v>26.3</v>
      </c>
      <c r="Q133" s="3">
        <v>0.89</v>
      </c>
      <c r="R133" s="122">
        <v>2500000</v>
      </c>
      <c r="S133" s="122" t="s">
        <v>155</v>
      </c>
      <c r="T133" s="122" t="s">
        <v>328</v>
      </c>
      <c r="U133" s="3" t="s">
        <v>157</v>
      </c>
      <c r="V133" s="122">
        <v>1500000</v>
      </c>
      <c r="W133" s="122">
        <v>1280</v>
      </c>
      <c r="X133" s="122">
        <v>32</v>
      </c>
      <c r="Y133" s="122" t="s">
        <v>158</v>
      </c>
      <c r="Z133" s="122">
        <v>9.5000000000000001E-2</v>
      </c>
      <c r="AA133" s="3">
        <f t="shared" si="52"/>
        <v>1.2</v>
      </c>
      <c r="AB133" s="63">
        <f t="shared" si="53"/>
        <v>26.3</v>
      </c>
      <c r="AC133" s="18">
        <v>120.737981205314</v>
      </c>
      <c r="AF133" s="18">
        <v>80.656430924693893</v>
      </c>
      <c r="AG133" s="18">
        <v>1.8309154773194301</v>
      </c>
      <c r="AH133" s="18">
        <v>2.15</v>
      </c>
      <c r="AI133" s="18">
        <v>1089.7994768962501</v>
      </c>
      <c r="AJ133" s="18">
        <v>0.81320000000000003</v>
      </c>
      <c r="AK133" s="18">
        <v>0.31759999999999999</v>
      </c>
      <c r="AL133" s="3">
        <v>120000</v>
      </c>
      <c r="AM133" s="3">
        <v>299.45</v>
      </c>
      <c r="AN133" s="3">
        <v>1.39602</v>
      </c>
      <c r="AO133" s="3">
        <v>215563</v>
      </c>
      <c r="AP133" s="3">
        <v>301522</v>
      </c>
      <c r="AQ133" s="3">
        <v>287.05599999999998</v>
      </c>
      <c r="AR133" s="3">
        <v>1.39053</v>
      </c>
      <c r="AS133" s="3">
        <v>1022.1</v>
      </c>
      <c r="AT133" s="3">
        <v>345.68099999999998</v>
      </c>
      <c r="AU133" s="3">
        <v>6806.07</v>
      </c>
      <c r="AV133" s="3">
        <v>0</v>
      </c>
      <c r="AW133" s="3">
        <v>0</v>
      </c>
      <c r="AX133" s="3">
        <v>1375350</v>
      </c>
      <c r="AY133" s="3">
        <v>833.50099999999998</v>
      </c>
      <c r="AZ133" s="3">
        <v>5.7484799999999998</v>
      </c>
      <c r="BA133" s="3">
        <v>621076</v>
      </c>
      <c r="BB133" s="3">
        <v>860331</v>
      </c>
      <c r="BC133" s="3">
        <v>287.048</v>
      </c>
      <c r="BD133" s="3">
        <v>1.3504</v>
      </c>
      <c r="BE133" s="3">
        <v>1106.25</v>
      </c>
      <c r="BF133" s="3">
        <v>568.38499999999999</v>
      </c>
      <c r="BG133" s="3">
        <v>7179.44</v>
      </c>
      <c r="BH133" s="3">
        <v>264.65800000000002</v>
      </c>
      <c r="BI133" s="3">
        <v>0.46563157015051398</v>
      </c>
      <c r="BJ133" s="3">
        <v>7164240</v>
      </c>
      <c r="BK133" s="3">
        <v>1406.49</v>
      </c>
      <c r="BL133" s="3">
        <v>17.7453</v>
      </c>
      <c r="BM133" s="3">
        <v>1123230</v>
      </c>
      <c r="BN133" s="3">
        <v>1526960</v>
      </c>
      <c r="BO133" s="3">
        <v>287.04500000000002</v>
      </c>
      <c r="BP133" s="3">
        <v>1.3140700000000001</v>
      </c>
      <c r="BQ133" s="3">
        <v>1200.99</v>
      </c>
      <c r="BR133" s="3">
        <v>727.07799999999997</v>
      </c>
      <c r="BS133" s="3">
        <v>7312.03</v>
      </c>
      <c r="BT133" s="3">
        <v>0</v>
      </c>
      <c r="BU133" s="3">
        <v>0</v>
      </c>
      <c r="BV133" s="86">
        <v>8065640</v>
      </c>
      <c r="BW133" s="3">
        <v>1446.41</v>
      </c>
      <c r="BX133" s="3">
        <v>19.4268</v>
      </c>
      <c r="BY133" s="3">
        <v>1160310</v>
      </c>
      <c r="BZ133" s="3">
        <v>1575490</v>
      </c>
      <c r="CA133" s="3">
        <v>287.04199999999997</v>
      </c>
      <c r="CB133" s="3">
        <v>1.3126500000000001</v>
      </c>
      <c r="CC133" s="3">
        <v>1205.1300000000001</v>
      </c>
      <c r="CD133" s="3">
        <v>736.71299999999997</v>
      </c>
      <c r="CE133" s="3">
        <v>7312.03</v>
      </c>
      <c r="CF133" s="3">
        <v>0</v>
      </c>
      <c r="CG133" s="3">
        <v>0</v>
      </c>
      <c r="CH133" s="3">
        <v>4372530</v>
      </c>
      <c r="CI133" s="3">
        <v>1249.97</v>
      </c>
      <c r="CJ133" s="3">
        <v>12.186500000000001</v>
      </c>
      <c r="CK133" s="3">
        <v>980123</v>
      </c>
      <c r="CL133" s="3">
        <v>1338920</v>
      </c>
      <c r="CM133" s="3">
        <v>287.04899999999998</v>
      </c>
      <c r="CN133" s="3">
        <v>1.3209299999999999</v>
      </c>
      <c r="CO133" s="3">
        <v>1181.49</v>
      </c>
      <c r="CP133" s="3">
        <v>687.84699999999998</v>
      </c>
      <c r="CQ133" s="3">
        <v>7312.03</v>
      </c>
      <c r="CR133" s="3">
        <v>687.846</v>
      </c>
      <c r="CS133" s="3">
        <v>0.99999854618832396</v>
      </c>
      <c r="CT133" s="3">
        <v>1946.75</v>
      </c>
      <c r="CU133" s="3">
        <v>155.59100000000001</v>
      </c>
      <c r="CV133" s="3">
        <v>4.3589200000000002E-2</v>
      </c>
      <c r="CW133" s="3">
        <v>112004</v>
      </c>
      <c r="CX133" s="3">
        <v>156666</v>
      </c>
      <c r="CY133" s="3">
        <v>287.04199999999997</v>
      </c>
      <c r="CZ133" s="3">
        <v>1.3905099999999999</v>
      </c>
      <c r="DA133" s="3">
        <v>1022.09</v>
      </c>
      <c r="DB133" s="3">
        <v>249.17699999999999</v>
      </c>
      <c r="DC133" s="3">
        <v>7312.03</v>
      </c>
      <c r="DD133" s="3">
        <v>1684.53</v>
      </c>
      <c r="DE133" s="3">
        <v>6.7603900000000001</v>
      </c>
      <c r="DF133" s="123">
        <f t="shared" si="50"/>
        <v>6904335.496265268</v>
      </c>
      <c r="DG133" s="123">
        <f t="shared" si="51"/>
        <v>1575486.6604499999</v>
      </c>
      <c r="DH133" s="64"/>
      <c r="DK133" s="3">
        <v>3321</v>
      </c>
      <c r="DL133" s="124">
        <f t="shared" si="54"/>
        <v>3797.4</v>
      </c>
      <c r="DM133" s="124">
        <f t="shared" si="55"/>
        <v>7022.4</v>
      </c>
    </row>
    <row r="134" spans="1:117">
      <c r="A134" s="68">
        <v>132</v>
      </c>
      <c r="B134" s="2" t="s">
        <v>331</v>
      </c>
      <c r="C134" s="2">
        <v>250723</v>
      </c>
      <c r="D134" s="2" t="s">
        <v>327</v>
      </c>
      <c r="E134" s="119" t="s">
        <v>332</v>
      </c>
      <c r="F134" s="2">
        <v>6.76</v>
      </c>
      <c r="G134" s="2">
        <v>1010.9</v>
      </c>
      <c r="H134" s="2">
        <v>24.8</v>
      </c>
      <c r="I134" s="2">
        <v>47.3</v>
      </c>
      <c r="J134" s="2" t="s">
        <v>151</v>
      </c>
      <c r="K134" s="2">
        <v>242</v>
      </c>
      <c r="L134" s="119" t="s">
        <v>305</v>
      </c>
      <c r="M134" s="2" t="s">
        <v>153</v>
      </c>
      <c r="N134" s="2" t="s">
        <v>154</v>
      </c>
      <c r="O134" s="2">
        <v>0.2</v>
      </c>
      <c r="P134" s="2">
        <v>25.7</v>
      </c>
      <c r="Q134" s="2">
        <v>0.92</v>
      </c>
      <c r="R134" s="119">
        <v>2500000</v>
      </c>
      <c r="S134" s="119" t="s">
        <v>155</v>
      </c>
      <c r="T134" s="119" t="s">
        <v>333</v>
      </c>
      <c r="U134" s="2" t="s">
        <v>157</v>
      </c>
      <c r="V134" s="119">
        <v>1500000</v>
      </c>
      <c r="W134" s="119">
        <v>1280</v>
      </c>
      <c r="X134" s="119">
        <v>32</v>
      </c>
      <c r="Y134" s="119" t="s">
        <v>158</v>
      </c>
      <c r="Z134" s="119">
        <v>9.5000000000000001E-2</v>
      </c>
      <c r="AA134" s="2">
        <f t="shared" si="52"/>
        <v>1.2</v>
      </c>
      <c r="AB134">
        <f t="shared" si="53"/>
        <v>25.7</v>
      </c>
      <c r="AC134" s="17">
        <v>124.47534976680301</v>
      </c>
      <c r="AF134" s="17">
        <v>81.946499165053297</v>
      </c>
      <c r="AG134" s="17">
        <v>1.6682162315712601</v>
      </c>
      <c r="AH134" s="17">
        <v>2</v>
      </c>
      <c r="AI134" s="17">
        <v>1089.7994768962501</v>
      </c>
      <c r="AJ134" s="17">
        <v>0.804399999999999</v>
      </c>
      <c r="AK134" s="17">
        <v>0.47639999999999999</v>
      </c>
      <c r="AL134" s="2">
        <v>120000</v>
      </c>
      <c r="AM134" s="2">
        <v>298.85000000000002</v>
      </c>
      <c r="AN134" s="2">
        <v>1.39882</v>
      </c>
      <c r="AO134" s="2">
        <v>215131</v>
      </c>
      <c r="AP134" s="2">
        <v>300918</v>
      </c>
      <c r="AQ134" s="2">
        <v>287.05500000000001</v>
      </c>
      <c r="AR134" s="2">
        <v>1.39053</v>
      </c>
      <c r="AS134" s="2">
        <v>1022.1</v>
      </c>
      <c r="AT134" s="2">
        <v>345.33499999999998</v>
      </c>
      <c r="AU134" s="2">
        <v>6804</v>
      </c>
      <c r="AV134" s="2">
        <v>0</v>
      </c>
      <c r="AW134" s="2">
        <v>0</v>
      </c>
      <c r="AX134" s="2">
        <v>1378120</v>
      </c>
      <c r="AY134" s="2">
        <v>832.99400000000003</v>
      </c>
      <c r="AZ134" s="2">
        <v>5.7635500000000004</v>
      </c>
      <c r="BA134" s="2">
        <v>620660</v>
      </c>
      <c r="BB134" s="2">
        <v>859770</v>
      </c>
      <c r="BC134" s="2">
        <v>287.048</v>
      </c>
      <c r="BD134" s="2">
        <v>1.3504400000000001</v>
      </c>
      <c r="BE134" s="2">
        <v>1106.1500000000001</v>
      </c>
      <c r="BF134" s="2">
        <v>568.22199999999998</v>
      </c>
      <c r="BG134" s="2">
        <v>7178.19</v>
      </c>
      <c r="BH134" s="2">
        <v>264.49599999999998</v>
      </c>
      <c r="BI134" s="2">
        <v>0.46548004125148301</v>
      </c>
      <c r="BJ134" s="2">
        <v>7183520</v>
      </c>
      <c r="BK134" s="2">
        <v>1406.11</v>
      </c>
      <c r="BL134" s="2">
        <v>17.797899999999998</v>
      </c>
      <c r="BM134" s="2">
        <v>1122880</v>
      </c>
      <c r="BN134" s="2">
        <v>1526490</v>
      </c>
      <c r="BO134" s="2">
        <v>287.04500000000002</v>
      </c>
      <c r="BP134" s="2">
        <v>1.31409</v>
      </c>
      <c r="BQ134" s="2">
        <v>1200.95</v>
      </c>
      <c r="BR134" s="2">
        <v>726.98400000000004</v>
      </c>
      <c r="BS134" s="2">
        <v>7310.93</v>
      </c>
      <c r="BT134" s="2">
        <v>0</v>
      </c>
      <c r="BU134" s="2">
        <v>0</v>
      </c>
      <c r="BV134" s="19">
        <v>8194650</v>
      </c>
      <c r="BW134" s="2">
        <v>1450.51</v>
      </c>
      <c r="BX134" s="2">
        <v>19.681699999999999</v>
      </c>
      <c r="BY134" s="2">
        <v>1164140</v>
      </c>
      <c r="BZ134" s="2">
        <v>1580500</v>
      </c>
      <c r="CA134" s="2">
        <v>287.04199999999997</v>
      </c>
      <c r="CB134" s="2">
        <v>1.3125100000000001</v>
      </c>
      <c r="CC134" s="2">
        <v>1205.56</v>
      </c>
      <c r="CD134" s="2">
        <v>737.69399999999996</v>
      </c>
      <c r="CE134" s="2">
        <v>7310.93</v>
      </c>
      <c r="CF134" s="2">
        <v>0</v>
      </c>
      <c r="CG134" s="2">
        <v>0</v>
      </c>
      <c r="CH134" s="2">
        <v>4442880</v>
      </c>
      <c r="CI134" s="2">
        <v>1253.6199999999999</v>
      </c>
      <c r="CJ134" s="2">
        <v>12.346500000000001</v>
      </c>
      <c r="CK134" s="2">
        <v>983428</v>
      </c>
      <c r="CL134" s="2">
        <v>1343280</v>
      </c>
      <c r="CM134" s="2">
        <v>287.04899999999998</v>
      </c>
      <c r="CN134" s="2">
        <v>1.32073</v>
      </c>
      <c r="CO134" s="2">
        <v>1182.04</v>
      </c>
      <c r="CP134" s="2">
        <v>688.79200000000003</v>
      </c>
      <c r="CQ134" s="2">
        <v>7310.93</v>
      </c>
      <c r="CR134" s="2">
        <v>688.79100000000005</v>
      </c>
      <c r="CS134" s="2">
        <v>0.99999854818290601</v>
      </c>
      <c r="CT134" s="2">
        <v>1976.56</v>
      </c>
      <c r="CU134" s="2">
        <v>156.08500000000001</v>
      </c>
      <c r="CV134" s="2">
        <v>4.4116599999999999E-2</v>
      </c>
      <c r="CW134" s="2">
        <v>112360</v>
      </c>
      <c r="CX134" s="2">
        <v>157163</v>
      </c>
      <c r="CY134" s="2">
        <v>287.04300000000001</v>
      </c>
      <c r="CZ134" s="2">
        <v>1.3905099999999999</v>
      </c>
      <c r="DA134" s="3"/>
      <c r="DB134" s="2">
        <v>249.572</v>
      </c>
      <c r="DC134" s="2">
        <v>7310.94</v>
      </c>
      <c r="DD134" s="2">
        <v>1687.21</v>
      </c>
      <c r="DE134" s="2">
        <v>6.7603999999999997</v>
      </c>
      <c r="DF134" s="121">
        <f t="shared" si="50"/>
        <v>6978697.647738941</v>
      </c>
      <c r="DG134" s="121">
        <f t="shared" si="51"/>
        <v>1580501.79205</v>
      </c>
      <c r="DK134" s="2">
        <v>1612</v>
      </c>
      <c r="DL134" s="125">
        <f t="shared" si="54"/>
        <v>2326.6</v>
      </c>
      <c r="DM134" s="125">
        <f t="shared" si="55"/>
        <v>5326.6</v>
      </c>
    </row>
    <row r="135" spans="1:117" s="3" customFormat="1">
      <c r="A135" s="85">
        <v>133</v>
      </c>
      <c r="B135" s="3" t="s">
        <v>334</v>
      </c>
      <c r="C135" s="3">
        <v>250724</v>
      </c>
      <c r="D135" s="3" t="s">
        <v>335</v>
      </c>
      <c r="E135" s="3" t="s">
        <v>150</v>
      </c>
      <c r="F135" s="3">
        <v>6.76</v>
      </c>
      <c r="G135" s="3">
        <v>1006.5</v>
      </c>
      <c r="H135" s="3">
        <v>24</v>
      </c>
      <c r="I135" s="3">
        <v>50.5</v>
      </c>
      <c r="J135" s="3" t="s">
        <v>151</v>
      </c>
      <c r="K135" s="3">
        <v>227</v>
      </c>
      <c r="L135" s="3" t="s">
        <v>305</v>
      </c>
      <c r="M135" s="3" t="s">
        <v>153</v>
      </c>
      <c r="N135" s="3" t="s">
        <v>154</v>
      </c>
      <c r="O135" s="3">
        <v>0.2</v>
      </c>
      <c r="P135" s="3">
        <v>26.1</v>
      </c>
      <c r="Q135" s="3">
        <v>0.97</v>
      </c>
      <c r="R135" s="3">
        <v>2500000</v>
      </c>
      <c r="S135" s="3" t="s">
        <v>155</v>
      </c>
      <c r="T135" s="122" t="s">
        <v>330</v>
      </c>
      <c r="U135" s="3" t="s">
        <v>157</v>
      </c>
      <c r="V135" s="3">
        <v>1500000</v>
      </c>
      <c r="W135" s="3">
        <v>1280</v>
      </c>
      <c r="X135" s="3">
        <v>32</v>
      </c>
      <c r="Y135" s="3" t="s">
        <v>325</v>
      </c>
      <c r="Z135" s="3">
        <v>9.5000000000000001E-2</v>
      </c>
      <c r="AA135" s="3">
        <f t="shared" si="52"/>
        <v>1.2</v>
      </c>
      <c r="AB135" s="63">
        <f t="shared" si="53"/>
        <v>26.1</v>
      </c>
      <c r="AC135" s="18">
        <v>122.320755007706</v>
      </c>
      <c r="AF135" s="18">
        <v>81.270341880121606</v>
      </c>
      <c r="AG135" s="18">
        <v>1.6963308937009001</v>
      </c>
      <c r="AH135" s="18">
        <v>2.1</v>
      </c>
      <c r="AI135" s="18">
        <v>1076.6580534022401</v>
      </c>
      <c r="AJ135" s="18">
        <v>0.81440000000000101</v>
      </c>
      <c r="AK135" s="18">
        <v>0.39960000000000001</v>
      </c>
      <c r="AL135" s="3">
        <v>120000</v>
      </c>
      <c r="AM135" s="3">
        <v>299.25</v>
      </c>
      <c r="AN135" s="3">
        <v>1.3969499999999999</v>
      </c>
      <c r="AO135" s="3">
        <v>215419</v>
      </c>
      <c r="AP135" s="3">
        <v>301320</v>
      </c>
      <c r="AQ135" s="3">
        <v>287.05599999999998</v>
      </c>
      <c r="AR135" s="3">
        <v>1.39053</v>
      </c>
      <c r="AS135" s="3">
        <v>1022.1</v>
      </c>
      <c r="AT135" s="3">
        <v>345.56599999999997</v>
      </c>
      <c r="AU135" s="3">
        <v>6805.38</v>
      </c>
      <c r="AV135" s="3">
        <v>0</v>
      </c>
      <c r="AW135" s="3">
        <v>0</v>
      </c>
      <c r="AX135" s="3">
        <v>1342390</v>
      </c>
      <c r="AY135" s="3">
        <v>820.61199999999997</v>
      </c>
      <c r="AZ135" s="3">
        <v>5.6988399999999997</v>
      </c>
      <c r="BA135" s="3">
        <v>610535</v>
      </c>
      <c r="BB135" s="3">
        <v>846090</v>
      </c>
      <c r="BC135" s="3">
        <v>287.048</v>
      </c>
      <c r="BD135" s="3">
        <v>1.3515900000000001</v>
      </c>
      <c r="BE135" s="3">
        <v>1103.47</v>
      </c>
      <c r="BF135" s="3">
        <v>564.22500000000002</v>
      </c>
      <c r="BG135" s="3">
        <v>7169.2</v>
      </c>
      <c r="BH135" s="3">
        <v>263.92</v>
      </c>
      <c r="BI135" s="3">
        <v>0.467756657361868</v>
      </c>
      <c r="BJ135" s="3">
        <v>6927630</v>
      </c>
      <c r="BK135" s="3">
        <v>1380.91</v>
      </c>
      <c r="BL135" s="3">
        <v>17.4771</v>
      </c>
      <c r="BM135" s="3">
        <v>1099530</v>
      </c>
      <c r="BN135" s="3">
        <v>1495910</v>
      </c>
      <c r="BO135" s="3">
        <v>287.04500000000002</v>
      </c>
      <c r="BP135" s="3">
        <v>1.3151299999999999</v>
      </c>
      <c r="BQ135" s="3">
        <v>1197.93</v>
      </c>
      <c r="BR135" s="3">
        <v>720.846</v>
      </c>
      <c r="BS135" s="3">
        <v>7299.38</v>
      </c>
      <c r="BT135" s="3">
        <v>0</v>
      </c>
      <c r="BU135" s="3">
        <v>0</v>
      </c>
      <c r="BV135" s="86">
        <v>8127030</v>
      </c>
      <c r="BW135" s="3">
        <v>1434.02</v>
      </c>
      <c r="BX135" s="3">
        <v>19.7438</v>
      </c>
      <c r="BY135" s="3">
        <v>1148760</v>
      </c>
      <c r="BZ135" s="3">
        <v>1560390</v>
      </c>
      <c r="CA135" s="3">
        <v>287.04300000000001</v>
      </c>
      <c r="CB135" s="3">
        <v>1.3130900000000001</v>
      </c>
      <c r="CC135" s="3">
        <v>1203.8399999999999</v>
      </c>
      <c r="CD135" s="3">
        <v>733.74</v>
      </c>
      <c r="CE135" s="3">
        <v>7299.38</v>
      </c>
      <c r="CF135" s="3">
        <v>0</v>
      </c>
      <c r="CG135" s="3">
        <v>0</v>
      </c>
      <c r="CH135" s="3">
        <v>4404430</v>
      </c>
      <c r="CI135" s="3">
        <v>1238.92</v>
      </c>
      <c r="CJ135" s="3">
        <v>12.3849</v>
      </c>
      <c r="CK135" s="3">
        <v>970157</v>
      </c>
      <c r="CL135" s="3">
        <v>1325790</v>
      </c>
      <c r="CM135" s="3">
        <v>287.04899999999998</v>
      </c>
      <c r="CN135" s="3">
        <v>1.32152</v>
      </c>
      <c r="CO135" s="3">
        <v>1179.83</v>
      </c>
      <c r="CP135" s="3">
        <v>684.98299999999995</v>
      </c>
      <c r="CQ135" s="3">
        <v>7299.38</v>
      </c>
      <c r="CR135" s="3">
        <v>684.98299999999995</v>
      </c>
      <c r="CS135" s="3">
        <v>1</v>
      </c>
      <c r="CT135" s="3">
        <v>1965.06</v>
      </c>
      <c r="CU135" s="3">
        <v>154.1</v>
      </c>
      <c r="CV135" s="3">
        <v>4.4424900000000003E-2</v>
      </c>
      <c r="CW135" s="3">
        <v>110931</v>
      </c>
      <c r="CX135" s="3">
        <v>155164</v>
      </c>
      <c r="CY135" s="3">
        <v>287.04300000000001</v>
      </c>
      <c r="CZ135" s="3">
        <v>1.3905099999999999</v>
      </c>
      <c r="DA135" s="2">
        <v>1022.09</v>
      </c>
      <c r="DB135" s="3">
        <v>247.98</v>
      </c>
      <c r="DC135" s="3">
        <v>7299.38</v>
      </c>
      <c r="DD135" s="3">
        <v>1676.44</v>
      </c>
      <c r="DE135" s="3">
        <v>6.7603799999999996</v>
      </c>
      <c r="DF135" s="123">
        <f t="shared" si="50"/>
        <v>7065057.5820374396</v>
      </c>
      <c r="DG135" s="123">
        <f t="shared" si="51"/>
        <v>1560389.5368000001</v>
      </c>
      <c r="DH135" s="64"/>
      <c r="DK135" s="3">
        <v>1530</v>
      </c>
      <c r="DL135" s="126">
        <f t="shared" si="54"/>
        <v>2129.4</v>
      </c>
      <c r="DM135" s="126">
        <f t="shared" si="55"/>
        <v>5279.4000000000005</v>
      </c>
    </row>
    <row r="136" spans="1:117" s="3" customFormat="1">
      <c r="A136" s="85">
        <v>134</v>
      </c>
      <c r="B136" s="3" t="s">
        <v>334</v>
      </c>
      <c r="C136" s="3">
        <v>250724</v>
      </c>
      <c r="D136" s="3" t="s">
        <v>335</v>
      </c>
      <c r="E136" s="3" t="s">
        <v>150</v>
      </c>
      <c r="F136" s="3">
        <v>6.76</v>
      </c>
      <c r="G136" s="3">
        <v>1006.4</v>
      </c>
      <c r="H136" s="3">
        <v>24.2</v>
      </c>
      <c r="I136" s="3">
        <v>49.9</v>
      </c>
      <c r="J136" s="3" t="s">
        <v>151</v>
      </c>
      <c r="K136" s="3">
        <v>218.7</v>
      </c>
      <c r="L136" s="3" t="s">
        <v>305</v>
      </c>
      <c r="M136" s="3" t="s">
        <v>153</v>
      </c>
      <c r="N136" s="3" t="s">
        <v>154</v>
      </c>
      <c r="O136" s="3">
        <v>0.2</v>
      </c>
      <c r="P136" s="3">
        <v>25.4</v>
      </c>
      <c r="Q136" s="3">
        <v>0.99</v>
      </c>
      <c r="R136" s="3">
        <v>2500000</v>
      </c>
      <c r="S136" s="3" t="s">
        <v>155</v>
      </c>
      <c r="T136" s="122" t="s">
        <v>336</v>
      </c>
      <c r="U136" s="3" t="s">
        <v>157</v>
      </c>
      <c r="V136" s="3">
        <v>1500000</v>
      </c>
      <c r="W136" s="3">
        <v>1280</v>
      </c>
      <c r="X136" s="3">
        <v>32</v>
      </c>
      <c r="Y136" s="3" t="s">
        <v>325</v>
      </c>
      <c r="Z136" s="3">
        <v>9.5000000000000001E-2</v>
      </c>
      <c r="AA136" s="3">
        <f t="shared" si="52"/>
        <v>1.2</v>
      </c>
      <c r="AB136" s="63">
        <f t="shared" si="53"/>
        <v>25.4</v>
      </c>
      <c r="AC136" s="18">
        <v>123.093980675148</v>
      </c>
      <c r="AF136" s="18">
        <v>81.687952607616694</v>
      </c>
      <c r="AG136" s="18">
        <v>1.69751510960014</v>
      </c>
      <c r="AH136" s="18">
        <v>2</v>
      </c>
      <c r="AI136" s="18">
        <v>1089.7994768962501</v>
      </c>
      <c r="AJ136" s="18">
        <v>0.81880000000000097</v>
      </c>
      <c r="AK136" s="18">
        <v>0.41599999999999998</v>
      </c>
      <c r="AL136" s="3">
        <v>120000</v>
      </c>
      <c r="AM136" s="3">
        <v>298.55</v>
      </c>
      <c r="AN136" s="3">
        <v>1.4002300000000001</v>
      </c>
      <c r="AO136" s="3">
        <v>214915</v>
      </c>
      <c r="AP136" s="3">
        <v>300616</v>
      </c>
      <c r="AQ136" s="3">
        <v>287.05500000000001</v>
      </c>
      <c r="AR136" s="3">
        <v>1.39053</v>
      </c>
      <c r="AS136" s="3">
        <v>1022.1</v>
      </c>
      <c r="AT136" s="3">
        <v>345.161</v>
      </c>
      <c r="AU136" s="3">
        <v>6802.96</v>
      </c>
      <c r="AV136" s="3">
        <v>0</v>
      </c>
      <c r="AW136" s="3">
        <v>0</v>
      </c>
      <c r="AX136" s="3">
        <v>1379510</v>
      </c>
      <c r="AY136" s="3">
        <v>832.74099999999999</v>
      </c>
      <c r="AZ136" s="3">
        <v>5.7711100000000002</v>
      </c>
      <c r="BA136" s="3">
        <v>620453</v>
      </c>
      <c r="BB136" s="3">
        <v>859489</v>
      </c>
      <c r="BC136" s="3">
        <v>287.048</v>
      </c>
      <c r="BD136" s="3">
        <v>1.3504700000000001</v>
      </c>
      <c r="BE136" s="3">
        <v>1106.0999999999999</v>
      </c>
      <c r="BF136" s="3">
        <v>568.14</v>
      </c>
      <c r="BG136" s="3">
        <v>7177.57</v>
      </c>
      <c r="BH136" s="3">
        <v>264.41399999999999</v>
      </c>
      <c r="BI136" s="3">
        <v>0.46540289365297299</v>
      </c>
      <c r="BJ136" s="3">
        <v>7193190</v>
      </c>
      <c r="BK136" s="3">
        <v>1405.92</v>
      </c>
      <c r="BL136" s="3">
        <v>17.824300000000001</v>
      </c>
      <c r="BM136" s="3">
        <v>1122700</v>
      </c>
      <c r="BN136" s="3">
        <v>1526260</v>
      </c>
      <c r="BO136" s="3">
        <v>287.04500000000002</v>
      </c>
      <c r="BP136" s="3">
        <v>1.31409</v>
      </c>
      <c r="BQ136" s="3">
        <v>1200.93</v>
      </c>
      <c r="BR136" s="3">
        <v>726.93799999999999</v>
      </c>
      <c r="BS136" s="3">
        <v>7310.38</v>
      </c>
      <c r="BT136" s="3">
        <v>0</v>
      </c>
      <c r="BU136" s="3">
        <v>0</v>
      </c>
      <c r="BV136" s="86">
        <v>8168800</v>
      </c>
      <c r="BW136" s="3">
        <v>1448.78</v>
      </c>
      <c r="BX136" s="3">
        <v>19.6431</v>
      </c>
      <c r="BY136" s="3">
        <v>1162520</v>
      </c>
      <c r="BZ136" s="3">
        <v>1578380</v>
      </c>
      <c r="CA136" s="3">
        <v>287.04199999999997</v>
      </c>
      <c r="CB136" s="3">
        <v>1.31257</v>
      </c>
      <c r="CC136" s="3">
        <v>1205.3800000000001</v>
      </c>
      <c r="CD136" s="3">
        <v>737.28</v>
      </c>
      <c r="CE136" s="3">
        <v>7310.38</v>
      </c>
      <c r="CF136" s="3">
        <v>0</v>
      </c>
      <c r="CG136" s="3">
        <v>0</v>
      </c>
      <c r="CH136" s="3">
        <v>4428680</v>
      </c>
      <c r="CI136" s="3">
        <v>1252.08</v>
      </c>
      <c r="CJ136" s="3">
        <v>12.3222</v>
      </c>
      <c r="CK136" s="3">
        <v>982032</v>
      </c>
      <c r="CL136" s="3">
        <v>1341440</v>
      </c>
      <c r="CM136" s="3">
        <v>287.04899999999998</v>
      </c>
      <c r="CN136" s="3">
        <v>1.32081</v>
      </c>
      <c r="CO136" s="3">
        <v>1181.8</v>
      </c>
      <c r="CP136" s="3">
        <v>688.39300000000003</v>
      </c>
      <c r="CQ136" s="3">
        <v>7310.38</v>
      </c>
      <c r="CR136" s="3">
        <v>688.39200000000005</v>
      </c>
      <c r="CS136" s="3">
        <v>0.99999854734141702</v>
      </c>
      <c r="CT136" s="3">
        <v>1971.9</v>
      </c>
      <c r="CU136" s="3">
        <v>155.9</v>
      </c>
      <c r="CV136" s="3">
        <v>4.4065E-2</v>
      </c>
      <c r="CW136" s="3">
        <v>112226</v>
      </c>
      <c r="CX136" s="3">
        <v>156976</v>
      </c>
      <c r="CY136" s="3">
        <v>287.04300000000001</v>
      </c>
      <c r="CZ136" s="3">
        <v>1.3905099999999999</v>
      </c>
      <c r="DA136" s="3">
        <v>1022.09</v>
      </c>
      <c r="DB136" s="3">
        <v>249.42400000000001</v>
      </c>
      <c r="DC136" s="3">
        <v>7310.39</v>
      </c>
      <c r="DD136" s="3">
        <v>1686.06</v>
      </c>
      <c r="DE136" s="3">
        <v>6.75983</v>
      </c>
      <c r="DF136" s="123">
        <f t="shared" si="50"/>
        <v>6973353.2115655877</v>
      </c>
      <c r="DG136" s="123">
        <f t="shared" si="51"/>
        <v>1578375.1617999999</v>
      </c>
      <c r="DH136" s="64"/>
      <c r="DK136" s="3">
        <v>1590</v>
      </c>
      <c r="DL136" s="126">
        <f t="shared" ref="DL136" si="56">DK136+AK136/1000*V136</f>
        <v>2214</v>
      </c>
      <c r="DM136" s="126">
        <f t="shared" ref="DM136" si="57">DL136+AH136/1000*V136</f>
        <v>5214</v>
      </c>
    </row>
    <row r="137" spans="1:117">
      <c r="A137" s="68">
        <v>135</v>
      </c>
      <c r="B137" s="2" t="s">
        <v>326</v>
      </c>
      <c r="C137" s="2">
        <v>250725</v>
      </c>
      <c r="D137" s="2" t="s">
        <v>335</v>
      </c>
      <c r="E137" s="2" t="s">
        <v>150</v>
      </c>
      <c r="F137" s="2">
        <v>6.76</v>
      </c>
      <c r="G137" s="2">
        <v>999.4</v>
      </c>
      <c r="H137" s="2">
        <v>26.4</v>
      </c>
      <c r="I137" s="2">
        <v>49.4</v>
      </c>
      <c r="J137" s="2" t="s">
        <v>151</v>
      </c>
      <c r="K137" s="2">
        <v>223.5</v>
      </c>
      <c r="L137" s="2" t="s">
        <v>305</v>
      </c>
      <c r="M137" s="2" t="s">
        <v>153</v>
      </c>
      <c r="N137" s="2" t="s">
        <v>154</v>
      </c>
      <c r="O137" s="2">
        <v>0.2</v>
      </c>
      <c r="P137" s="2">
        <v>28.4</v>
      </c>
      <c r="Q137" s="2">
        <v>0.89</v>
      </c>
      <c r="R137" s="2">
        <v>2500000</v>
      </c>
      <c r="S137" s="2" t="s">
        <v>155</v>
      </c>
      <c r="T137" s="119" t="s">
        <v>328</v>
      </c>
      <c r="U137" s="2" t="s">
        <v>157</v>
      </c>
      <c r="V137" s="2">
        <v>1500000</v>
      </c>
      <c r="W137" s="2">
        <v>1280</v>
      </c>
      <c r="X137" s="2">
        <v>32</v>
      </c>
      <c r="Y137" s="2" t="s">
        <v>325</v>
      </c>
      <c r="Z137" s="2">
        <v>9.5000000000000001E-2</v>
      </c>
      <c r="AA137" s="2">
        <f t="shared" si="52"/>
        <v>1.2</v>
      </c>
      <c r="AB137">
        <f t="shared" si="53"/>
        <v>28.4</v>
      </c>
      <c r="AC137" s="17">
        <v>120.399804316801</v>
      </c>
      <c r="AF137" s="17">
        <v>81.242597601921005</v>
      </c>
      <c r="AG137" s="17">
        <v>1.6919043457449701</v>
      </c>
      <c r="AH137" s="17">
        <v>2.0099999999999998</v>
      </c>
      <c r="AI137" s="17">
        <v>1093.6132983377099</v>
      </c>
      <c r="AJ137" s="17">
        <v>0.81359999999999899</v>
      </c>
      <c r="AK137" s="17">
        <v>0.44159999999999999</v>
      </c>
      <c r="AL137" s="3">
        <v>120000</v>
      </c>
      <c r="AM137" s="3">
        <v>301.55</v>
      </c>
      <c r="AN137" s="3">
        <v>1.3863000000000001</v>
      </c>
      <c r="AO137" s="2">
        <v>217075</v>
      </c>
      <c r="AP137" s="2">
        <v>303636</v>
      </c>
      <c r="AQ137" s="2">
        <v>287.05599999999998</v>
      </c>
      <c r="AR137" s="2">
        <v>1.39053</v>
      </c>
      <c r="AS137" s="2">
        <v>1022.1</v>
      </c>
      <c r="AT137" s="2">
        <v>346.89100000000002</v>
      </c>
      <c r="AU137" s="2">
        <v>6813.29</v>
      </c>
      <c r="AV137" s="3">
        <v>0</v>
      </c>
      <c r="AW137" s="2">
        <v>0</v>
      </c>
      <c r="AX137" s="3">
        <v>1375600</v>
      </c>
      <c r="AY137" s="3">
        <v>838.98299999999995</v>
      </c>
      <c r="AZ137" s="3">
        <v>5.7119200000000001</v>
      </c>
      <c r="BA137" s="2">
        <v>625578</v>
      </c>
      <c r="BB137" s="2">
        <v>866407</v>
      </c>
      <c r="BC137" s="2">
        <v>287.04899999999998</v>
      </c>
      <c r="BD137" s="2">
        <v>1.3499099999999999</v>
      </c>
      <c r="BE137" s="2">
        <v>1107.3900000000001</v>
      </c>
      <c r="BF137" s="2">
        <v>570.15</v>
      </c>
      <c r="BG137" s="2">
        <v>7186.64</v>
      </c>
      <c r="BH137" s="2">
        <v>265.423</v>
      </c>
      <c r="BI137" s="2">
        <v>0.465531877576076</v>
      </c>
      <c r="BJ137" s="3">
        <v>7168270</v>
      </c>
      <c r="BK137" s="3">
        <v>1415.29</v>
      </c>
      <c r="BL137" s="2">
        <v>17.6449</v>
      </c>
      <c r="BM137" s="2">
        <v>1131370</v>
      </c>
      <c r="BN137" s="2">
        <v>1537620</v>
      </c>
      <c r="BO137" s="2">
        <v>287.04399999999998</v>
      </c>
      <c r="BP137" s="2">
        <v>1.31376</v>
      </c>
      <c r="BQ137" s="2">
        <v>1201.9000000000001</v>
      </c>
      <c r="BR137" s="2">
        <v>729.21500000000003</v>
      </c>
      <c r="BS137" s="2">
        <v>7319.43</v>
      </c>
      <c r="BT137" s="2">
        <v>0</v>
      </c>
      <c r="BU137" s="2">
        <v>0</v>
      </c>
      <c r="BV137" s="127">
        <v>8124260</v>
      </c>
      <c r="BW137" s="2">
        <v>1457.68</v>
      </c>
      <c r="BX137" s="2">
        <v>19.416799999999999</v>
      </c>
      <c r="BY137" s="2">
        <v>1170830</v>
      </c>
      <c r="BZ137" s="2">
        <v>1589250</v>
      </c>
      <c r="CA137" s="2">
        <v>287.041</v>
      </c>
      <c r="CB137" s="2">
        <v>1.3122499999999999</v>
      </c>
      <c r="CC137" s="2">
        <v>1206.31</v>
      </c>
      <c r="CD137" s="2">
        <v>739.40300000000002</v>
      </c>
      <c r="CE137" s="2">
        <v>7319.43</v>
      </c>
      <c r="CF137" s="2">
        <v>0</v>
      </c>
      <c r="CG137" s="2">
        <v>0</v>
      </c>
      <c r="CH137" s="2">
        <v>4405550</v>
      </c>
      <c r="CI137" s="2">
        <v>1260.01</v>
      </c>
      <c r="CJ137" s="2">
        <v>12.1806</v>
      </c>
      <c r="CK137" s="2">
        <v>989211</v>
      </c>
      <c r="CL137" s="2">
        <v>1350900</v>
      </c>
      <c r="CM137" s="2">
        <v>287.04899999999998</v>
      </c>
      <c r="CN137" s="2">
        <v>1.32039</v>
      </c>
      <c r="CO137" s="2">
        <v>1182.99</v>
      </c>
      <c r="CP137" s="2">
        <v>690.43799999999999</v>
      </c>
      <c r="CQ137" s="2">
        <v>7319.43</v>
      </c>
      <c r="CR137" s="2">
        <v>690.43799999999999</v>
      </c>
      <c r="CS137" s="2">
        <v>1</v>
      </c>
      <c r="CT137" s="2">
        <v>1957.57</v>
      </c>
      <c r="CU137" s="3">
        <v>156.946</v>
      </c>
      <c r="CV137" s="2">
        <v>4.3453199999999997E-2</v>
      </c>
      <c r="CW137" s="2">
        <v>112980</v>
      </c>
      <c r="CX137" s="2">
        <v>158030</v>
      </c>
      <c r="CY137" s="2">
        <v>287.04199999999997</v>
      </c>
      <c r="CZ137" s="2">
        <v>1.3905099999999999</v>
      </c>
      <c r="DA137" s="3">
        <v>1022.09</v>
      </c>
      <c r="DB137" s="2">
        <v>250.26</v>
      </c>
      <c r="DC137" s="2">
        <v>7319.43</v>
      </c>
      <c r="DD137" s="2">
        <v>1691.87</v>
      </c>
      <c r="DE137" s="2">
        <v>6.7604699999999998</v>
      </c>
      <c r="DF137" s="121">
        <f t="shared" si="50"/>
        <v>6858136.3864191277</v>
      </c>
      <c r="DG137" s="121">
        <f t="shared" si="51"/>
        <v>1589242.0484499999</v>
      </c>
    </row>
    <row r="138" spans="1:117">
      <c r="A138" s="1">
        <v>136</v>
      </c>
      <c r="B138" s="2" t="s">
        <v>326</v>
      </c>
      <c r="C138" s="2">
        <v>250725</v>
      </c>
      <c r="D138" s="2" t="s">
        <v>337</v>
      </c>
      <c r="E138" s="2" t="s">
        <v>150</v>
      </c>
      <c r="F138" s="2">
        <v>6.76</v>
      </c>
      <c r="G138" s="2">
        <v>998.6</v>
      </c>
      <c r="H138" s="2">
        <v>27</v>
      </c>
      <c r="I138" s="2">
        <v>53.4</v>
      </c>
      <c r="J138" s="2" t="s">
        <v>151</v>
      </c>
      <c r="K138" s="2">
        <v>238.9</v>
      </c>
      <c r="L138" s="2" t="s">
        <v>305</v>
      </c>
      <c r="M138" s="2" t="s">
        <v>153</v>
      </c>
      <c r="N138" s="2" t="s">
        <v>154</v>
      </c>
      <c r="O138" s="2">
        <v>0.2</v>
      </c>
      <c r="P138" s="2">
        <v>28.4</v>
      </c>
      <c r="Q138" s="2">
        <v>0.99</v>
      </c>
      <c r="R138" s="2">
        <v>2500000</v>
      </c>
      <c r="S138" s="2" t="s">
        <v>155</v>
      </c>
      <c r="T138" s="54" t="s">
        <v>336</v>
      </c>
      <c r="U138" s="2" t="s">
        <v>157</v>
      </c>
      <c r="V138" s="2">
        <v>1500000</v>
      </c>
      <c r="W138" s="2">
        <v>1280</v>
      </c>
      <c r="X138" s="2">
        <v>32</v>
      </c>
      <c r="Y138" s="2" t="s">
        <v>325</v>
      </c>
      <c r="Z138" s="2">
        <v>9.5000000000000001E-2</v>
      </c>
      <c r="AA138" s="2">
        <f t="shared" si="52"/>
        <v>1.2</v>
      </c>
      <c r="AB138">
        <f t="shared" si="53"/>
        <v>28.4</v>
      </c>
      <c r="DA138" s="2">
        <v>1022.09</v>
      </c>
    </row>
    <row r="139" spans="1:117">
      <c r="A139" s="1">
        <v>137</v>
      </c>
      <c r="B139" s="2" t="s">
        <v>173</v>
      </c>
      <c r="C139" s="2">
        <v>250815</v>
      </c>
      <c r="D139" s="2" t="s">
        <v>285</v>
      </c>
      <c r="E139" s="2" t="s">
        <v>217</v>
      </c>
      <c r="F139" s="2">
        <v>6.76</v>
      </c>
      <c r="J139" s="2" t="s">
        <v>151</v>
      </c>
      <c r="L139" s="2" t="s">
        <v>278</v>
      </c>
      <c r="M139" s="2" t="s">
        <v>153</v>
      </c>
      <c r="N139" s="2" t="s">
        <v>154</v>
      </c>
      <c r="T139" s="128"/>
    </row>
    <row r="140" spans="1:117">
      <c r="A140" s="1">
        <v>138</v>
      </c>
      <c r="B140" s="54" t="s">
        <v>338</v>
      </c>
      <c r="C140" s="2">
        <v>250819</v>
      </c>
      <c r="D140" s="2" t="s">
        <v>184</v>
      </c>
      <c r="E140" s="2" t="s">
        <v>339</v>
      </c>
      <c r="F140" s="2">
        <v>6.76</v>
      </c>
      <c r="G140" s="2">
        <v>1009.7</v>
      </c>
      <c r="H140" s="2">
        <v>26.8</v>
      </c>
      <c r="I140" s="2">
        <v>49.6</v>
      </c>
      <c r="J140" s="54" t="s">
        <v>362</v>
      </c>
      <c r="K140" s="2">
        <v>209</v>
      </c>
      <c r="L140" s="54" t="s">
        <v>305</v>
      </c>
      <c r="M140" s="2" t="s">
        <v>153</v>
      </c>
      <c r="N140" s="2" t="s">
        <v>267</v>
      </c>
      <c r="O140" s="2">
        <v>-0.8</v>
      </c>
      <c r="P140" s="2">
        <v>28.6</v>
      </c>
      <c r="Q140" s="2">
        <v>0.95</v>
      </c>
      <c r="R140" s="54">
        <v>2500000</v>
      </c>
      <c r="AA140" s="17">
        <v>0.2</v>
      </c>
      <c r="AB140" s="17">
        <v>28.6</v>
      </c>
      <c r="AC140" s="17">
        <v>117.64058164862701</v>
      </c>
      <c r="AD140" s="17">
        <v>1.8589617006691901E-3</v>
      </c>
      <c r="AE140" s="17">
        <v>-3.75432134135233</v>
      </c>
      <c r="AF140" s="17">
        <v>57.842708142762199</v>
      </c>
      <c r="AG140" s="17">
        <v>2.8950668518621101</v>
      </c>
      <c r="AH140" s="17">
        <v>3.9567999999999999</v>
      </c>
      <c r="AI140" s="17">
        <v>1387.3473917869001</v>
      </c>
      <c r="AJ140" s="17">
        <v>0.62519999999999998</v>
      </c>
      <c r="AK140" s="17">
        <v>1.0908</v>
      </c>
    </row>
    <row r="141" spans="1:117">
      <c r="A141" s="1">
        <v>139</v>
      </c>
      <c r="B141" s="2" t="s">
        <v>289</v>
      </c>
      <c r="C141" s="2">
        <v>250828</v>
      </c>
      <c r="D141" s="2" t="s">
        <v>319</v>
      </c>
      <c r="E141" s="2" t="s">
        <v>307</v>
      </c>
      <c r="F141" s="2">
        <v>6.76</v>
      </c>
      <c r="G141" s="2">
        <v>1010.4</v>
      </c>
      <c r="H141" s="2">
        <v>25.8</v>
      </c>
      <c r="I141" s="2">
        <v>52.7</v>
      </c>
      <c r="J141" s="2" t="s">
        <v>151</v>
      </c>
      <c r="K141" s="2">
        <v>210</v>
      </c>
      <c r="L141" s="2" t="s">
        <v>305</v>
      </c>
      <c r="M141" s="2" t="s">
        <v>153</v>
      </c>
      <c r="N141" s="2" t="s">
        <v>154</v>
      </c>
      <c r="O141" s="2">
        <v>0.21</v>
      </c>
      <c r="P141" s="2">
        <v>27.4</v>
      </c>
      <c r="Q141" s="2">
        <v>0.99</v>
      </c>
      <c r="R141" s="2">
        <v>2500000</v>
      </c>
      <c r="S141" s="2" t="s">
        <v>307</v>
      </c>
      <c r="T141" s="54" t="s">
        <v>340</v>
      </c>
      <c r="U141" s="54" t="s">
        <v>157</v>
      </c>
      <c r="V141" s="2">
        <v>182000</v>
      </c>
      <c r="W141" s="2">
        <v>1280</v>
      </c>
      <c r="X141" s="2">
        <v>288</v>
      </c>
      <c r="Y141" s="2">
        <v>50</v>
      </c>
      <c r="Z141" s="2">
        <v>5.22</v>
      </c>
      <c r="AA141" s="2">
        <f t="shared" ref="AA141:AA163" si="58">O141+1</f>
        <v>1.21</v>
      </c>
      <c r="AB141">
        <f t="shared" ref="AB141:AB163" si="59">P141</f>
        <v>27.4</v>
      </c>
    </row>
    <row r="142" spans="1:117">
      <c r="A142" s="1">
        <v>140</v>
      </c>
      <c r="B142" s="2" t="s">
        <v>341</v>
      </c>
      <c r="C142" s="2">
        <v>250911</v>
      </c>
      <c r="D142" s="3" t="s">
        <v>335</v>
      </c>
      <c r="E142" s="2" t="s">
        <v>342</v>
      </c>
      <c r="F142" s="2">
        <v>6.76</v>
      </c>
      <c r="G142" s="2">
        <v>1015.5</v>
      </c>
      <c r="H142" s="2">
        <v>24.2</v>
      </c>
      <c r="I142" s="2">
        <v>43.4</v>
      </c>
      <c r="J142" s="2" t="s">
        <v>151</v>
      </c>
      <c r="K142" s="2">
        <v>229.8</v>
      </c>
      <c r="L142" s="2" t="s">
        <v>305</v>
      </c>
      <c r="M142" s="2" t="s">
        <v>153</v>
      </c>
      <c r="N142" s="2" t="s">
        <v>154</v>
      </c>
      <c r="O142" s="2">
        <v>0.2</v>
      </c>
      <c r="P142" s="2">
        <v>26.1</v>
      </c>
      <c r="Q142" s="2">
        <v>1</v>
      </c>
      <c r="R142" s="2">
        <v>2500000</v>
      </c>
      <c r="S142" s="2" t="s">
        <v>155</v>
      </c>
      <c r="T142" s="2" t="s">
        <v>167</v>
      </c>
      <c r="U142" s="2" t="s">
        <v>157</v>
      </c>
      <c r="V142" s="2">
        <v>1500000</v>
      </c>
      <c r="W142" s="2">
        <v>1280</v>
      </c>
      <c r="X142" s="2">
        <v>32</v>
      </c>
      <c r="Y142" s="2" t="s">
        <v>158</v>
      </c>
      <c r="Z142" s="2">
        <v>9.5000000000000001E-2</v>
      </c>
      <c r="AA142" s="2">
        <f t="shared" si="58"/>
        <v>1.2</v>
      </c>
      <c r="AB142">
        <f t="shared" si="59"/>
        <v>26.1</v>
      </c>
    </row>
    <row r="143" spans="1:117">
      <c r="A143" s="1">
        <v>141</v>
      </c>
      <c r="B143" s="2" t="s">
        <v>326</v>
      </c>
      <c r="C143" s="2">
        <v>250917</v>
      </c>
      <c r="D143" s="3" t="s">
        <v>335</v>
      </c>
      <c r="E143" s="2" t="s">
        <v>343</v>
      </c>
      <c r="F143" s="2">
        <v>6.76</v>
      </c>
      <c r="G143" s="2">
        <v>1007.8</v>
      </c>
      <c r="H143" s="2">
        <v>23.6</v>
      </c>
      <c r="I143" s="2">
        <v>51.3</v>
      </c>
      <c r="J143" s="2" t="s">
        <v>151</v>
      </c>
      <c r="K143" s="2">
        <v>242</v>
      </c>
      <c r="L143" s="54" t="s">
        <v>344</v>
      </c>
      <c r="M143" s="2" t="s">
        <v>153</v>
      </c>
      <c r="N143" s="2" t="s">
        <v>154</v>
      </c>
      <c r="O143" s="2">
        <v>0.2</v>
      </c>
      <c r="P143" s="2">
        <v>26.3</v>
      </c>
      <c r="Q143" s="2">
        <v>1</v>
      </c>
      <c r="R143" s="2">
        <v>2500000</v>
      </c>
      <c r="S143" s="2" t="s">
        <v>155</v>
      </c>
      <c r="T143" s="2" t="s">
        <v>288</v>
      </c>
      <c r="U143" s="2" t="s">
        <v>157</v>
      </c>
      <c r="V143" s="2">
        <v>85000</v>
      </c>
      <c r="W143" s="2">
        <v>1280</v>
      </c>
      <c r="X143" s="2">
        <v>608</v>
      </c>
      <c r="Y143" s="2">
        <v>200</v>
      </c>
      <c r="Z143" s="2">
        <v>11</v>
      </c>
      <c r="AA143" s="2">
        <f t="shared" si="58"/>
        <v>1.2</v>
      </c>
      <c r="AB143">
        <f t="shared" si="59"/>
        <v>26.3</v>
      </c>
      <c r="AC143" s="2">
        <v>120.9169046</v>
      </c>
      <c r="AF143" s="17">
        <v>88.571394652010198</v>
      </c>
      <c r="AG143" s="17">
        <v>1.70964481274463</v>
      </c>
      <c r="AH143" s="17">
        <v>2.2000000000000002</v>
      </c>
      <c r="AI143" s="17">
        <v>1128.1588447653401</v>
      </c>
      <c r="AJ143" s="17">
        <v>0.88280000000000003</v>
      </c>
      <c r="AK143" s="17">
        <v>0.43240000000000001</v>
      </c>
      <c r="AL143" s="17">
        <v>120000</v>
      </c>
      <c r="AM143" s="17">
        <v>299.45</v>
      </c>
      <c r="AN143" s="17">
        <v>1.39602</v>
      </c>
      <c r="AO143" s="17">
        <v>215563</v>
      </c>
      <c r="AP143" s="17">
        <v>301522</v>
      </c>
      <c r="AQ143" s="17">
        <v>287.05599999999998</v>
      </c>
      <c r="AR143" s="17">
        <v>1.39053</v>
      </c>
      <c r="AS143" s="17">
        <v>1022.1</v>
      </c>
      <c r="AT143" s="17">
        <v>345.68099999999998</v>
      </c>
      <c r="AU143" s="17">
        <v>6806.07</v>
      </c>
      <c r="AV143" s="17">
        <v>0</v>
      </c>
      <c r="AW143" s="17">
        <v>0</v>
      </c>
      <c r="AX143" s="17">
        <v>1476670</v>
      </c>
      <c r="AY143" s="17">
        <v>871.27700000000004</v>
      </c>
      <c r="AZ143" s="17">
        <v>5.9043000000000001</v>
      </c>
      <c r="BA143" s="17">
        <v>652216</v>
      </c>
      <c r="BB143" s="17">
        <v>902317</v>
      </c>
      <c r="BC143" s="17">
        <v>287.05099999999999</v>
      </c>
      <c r="BD143" s="17">
        <v>1.3470599999999999</v>
      </c>
      <c r="BE143" s="17">
        <v>1114.1400000000001</v>
      </c>
      <c r="BF143" s="17">
        <v>580.404</v>
      </c>
      <c r="BG143" s="17">
        <v>7208.2</v>
      </c>
      <c r="BH143" s="17">
        <v>266.74299999999999</v>
      </c>
      <c r="BI143" s="17">
        <v>0.45958160178082902</v>
      </c>
      <c r="BJ143" s="17">
        <v>7900020</v>
      </c>
      <c r="BK143" s="17">
        <v>1482.16</v>
      </c>
      <c r="BL143" s="17">
        <v>18.568999999999999</v>
      </c>
      <c r="BM143" s="17">
        <v>1193790</v>
      </c>
      <c r="BN143" s="17">
        <v>1619230</v>
      </c>
      <c r="BO143" s="17">
        <v>287.041</v>
      </c>
      <c r="BP143" s="17">
        <v>1.31138</v>
      </c>
      <c r="BQ143" s="17">
        <v>1208.8800000000001</v>
      </c>
      <c r="BR143" s="17">
        <v>745.20100000000002</v>
      </c>
      <c r="BS143" s="17">
        <v>7347.86</v>
      </c>
      <c r="BT143" s="17">
        <v>0</v>
      </c>
      <c r="BU143" s="17">
        <v>0</v>
      </c>
      <c r="BV143" s="17">
        <v>8857140</v>
      </c>
      <c r="BW143" s="17">
        <v>1522.19</v>
      </c>
      <c r="BX143" s="17">
        <v>20.271699999999999</v>
      </c>
      <c r="BY143" s="17">
        <v>1231610</v>
      </c>
      <c r="BZ143" s="17">
        <v>1668530</v>
      </c>
      <c r="CA143" s="17">
        <v>287.036</v>
      </c>
      <c r="CB143" s="17">
        <v>1.3099499999999999</v>
      </c>
      <c r="CC143" s="17">
        <v>1213.0999999999999</v>
      </c>
      <c r="CD143" s="17">
        <v>754.55600000000004</v>
      </c>
      <c r="CE143" s="17">
        <v>7347.86</v>
      </c>
      <c r="CF143" s="17">
        <v>0</v>
      </c>
      <c r="CG143" s="17">
        <v>0</v>
      </c>
      <c r="CH143" s="17">
        <v>4807810</v>
      </c>
      <c r="CI143" s="17">
        <v>1317.84</v>
      </c>
      <c r="CJ143" s="17">
        <v>12.7095</v>
      </c>
      <c r="CK143" s="17">
        <v>1041600</v>
      </c>
      <c r="CL143" s="17">
        <v>1419880</v>
      </c>
      <c r="CM143" s="17">
        <v>287.048</v>
      </c>
      <c r="CN143" s="17">
        <v>1.31786</v>
      </c>
      <c r="CO143" s="17">
        <v>1190.1199999999999</v>
      </c>
      <c r="CP143" s="17">
        <v>705.19500000000005</v>
      </c>
      <c r="CQ143" s="17">
        <v>7347.86</v>
      </c>
      <c r="CR143" s="17">
        <v>705.19500000000005</v>
      </c>
      <c r="CS143" s="17">
        <v>1</v>
      </c>
      <c r="CT143" s="17">
        <v>2114.61</v>
      </c>
      <c r="CU143" s="17">
        <v>164.81700000000001</v>
      </c>
      <c r="CV143" s="17">
        <v>4.4697300000000002E-2</v>
      </c>
      <c r="CW143" s="17">
        <v>118645</v>
      </c>
      <c r="CX143" s="17">
        <v>165955</v>
      </c>
      <c r="CY143" s="17">
        <v>287.04300000000001</v>
      </c>
      <c r="CZ143" s="17">
        <v>1.3905099999999999</v>
      </c>
      <c r="DB143" s="17">
        <v>256.45800000000003</v>
      </c>
      <c r="DC143" s="17">
        <v>7347.86</v>
      </c>
      <c r="DD143" s="17">
        <v>1733.54</v>
      </c>
      <c r="DE143" s="17">
        <v>6.7595400000000003</v>
      </c>
      <c r="DF143" s="121">
        <f>CV143*DD143/(0.00001716*(CU143/273)^1.5*(273+111)/(CU143+111))</f>
        <v>6913988.3389126817</v>
      </c>
      <c r="DG143" s="121">
        <f>CX143+0.5*DD143^2</f>
        <v>1668535.4657999999</v>
      </c>
    </row>
    <row r="144" spans="1:117">
      <c r="A144" s="1">
        <v>142</v>
      </c>
      <c r="B144" s="2" t="s">
        <v>289</v>
      </c>
      <c r="C144" s="2">
        <v>251002</v>
      </c>
      <c r="D144" s="3" t="s">
        <v>345</v>
      </c>
      <c r="E144" s="2" t="s">
        <v>150</v>
      </c>
      <c r="F144" s="2">
        <v>6.76</v>
      </c>
      <c r="G144" s="2">
        <v>1017.5</v>
      </c>
      <c r="H144" s="2">
        <v>25.6</v>
      </c>
      <c r="I144" s="2">
        <v>46.3</v>
      </c>
      <c r="J144" s="2" t="s">
        <v>151</v>
      </c>
      <c r="K144" s="2">
        <v>233.8</v>
      </c>
      <c r="L144" s="54" t="s">
        <v>346</v>
      </c>
      <c r="M144" s="2" t="s">
        <v>153</v>
      </c>
      <c r="N144" s="2" t="s">
        <v>154</v>
      </c>
      <c r="O144" s="2">
        <v>0.2</v>
      </c>
      <c r="P144" s="2">
        <v>27.3</v>
      </c>
      <c r="Q144" s="2">
        <v>1</v>
      </c>
      <c r="R144" s="2">
        <v>2500000</v>
      </c>
      <c r="S144" s="2" t="s">
        <v>155</v>
      </c>
      <c r="T144" s="54" t="s">
        <v>330</v>
      </c>
      <c r="U144" s="2" t="s">
        <v>157</v>
      </c>
      <c r="V144" s="2">
        <v>1500000</v>
      </c>
      <c r="W144" s="2">
        <v>1280</v>
      </c>
      <c r="X144" s="2">
        <v>32</v>
      </c>
      <c r="Y144" s="2" t="s">
        <v>158</v>
      </c>
      <c r="Z144" s="2">
        <v>9.5000000000000001E-2</v>
      </c>
      <c r="AA144" s="2">
        <f t="shared" si="58"/>
        <v>1.2</v>
      </c>
      <c r="AB144">
        <f t="shared" si="59"/>
        <v>27.3</v>
      </c>
      <c r="AC144" s="17">
        <v>119.13235500147999</v>
      </c>
      <c r="AF144" s="17">
        <v>88.225079868791994</v>
      </c>
      <c r="AG144" s="17">
        <v>1.8250312625763501</v>
      </c>
      <c r="AH144" s="17">
        <v>2</v>
      </c>
      <c r="AI144" s="17">
        <v>1121.07623318385</v>
      </c>
      <c r="AJ144" s="17">
        <v>0.79879999999999896</v>
      </c>
      <c r="AK144" s="17">
        <v>0.43759999999999999</v>
      </c>
      <c r="AL144">
        <v>120000</v>
      </c>
      <c r="AM144">
        <v>300.45</v>
      </c>
      <c r="AN144">
        <v>1.39137</v>
      </c>
      <c r="AO144">
        <v>216283</v>
      </c>
      <c r="AP144">
        <v>302529</v>
      </c>
      <c r="AQ144">
        <v>287.05599999999998</v>
      </c>
      <c r="AR144">
        <v>1.39053</v>
      </c>
      <c r="AS144">
        <v>1022.1</v>
      </c>
      <c r="AT144">
        <v>346.25799999999998</v>
      </c>
      <c r="AU144">
        <v>6809.52</v>
      </c>
      <c r="AV144">
        <v>0</v>
      </c>
      <c r="AW144">
        <v>0</v>
      </c>
      <c r="AX144">
        <v>1452830</v>
      </c>
      <c r="AY144">
        <v>865.06700000000001</v>
      </c>
      <c r="AZ144">
        <v>5.8506900000000002</v>
      </c>
      <c r="BA144">
        <v>647077</v>
      </c>
      <c r="BB144">
        <v>895395</v>
      </c>
      <c r="BC144">
        <v>287.05099999999999</v>
      </c>
      <c r="BD144">
        <v>1.34761</v>
      </c>
      <c r="BE144">
        <v>1112.8399999999999</v>
      </c>
      <c r="BF144">
        <v>578.45000000000005</v>
      </c>
      <c r="BG144">
        <v>7204.91</v>
      </c>
      <c r="BH144">
        <v>266.60700000000003</v>
      </c>
      <c r="BI144">
        <v>0.46089895410147802</v>
      </c>
      <c r="BJ144">
        <v>7727050</v>
      </c>
      <c r="BK144">
        <v>1468.72</v>
      </c>
      <c r="BL144">
        <v>18.328700000000001</v>
      </c>
      <c r="BM144">
        <v>1181170</v>
      </c>
      <c r="BN144">
        <v>1602750</v>
      </c>
      <c r="BO144">
        <v>287.04199999999997</v>
      </c>
      <c r="BP144">
        <v>1.31186</v>
      </c>
      <c r="BQ144">
        <v>1207.46</v>
      </c>
      <c r="BR144">
        <v>742.024</v>
      </c>
      <c r="BS144">
        <v>7343.04</v>
      </c>
      <c r="BT144">
        <v>0</v>
      </c>
      <c r="BU144">
        <v>0</v>
      </c>
      <c r="BV144">
        <v>8822510</v>
      </c>
      <c r="BW144">
        <v>1514.89</v>
      </c>
      <c r="BX144">
        <v>20.2897</v>
      </c>
      <c r="BY144">
        <v>1224690</v>
      </c>
      <c r="BZ144">
        <v>1659510</v>
      </c>
      <c r="CA144">
        <v>287.036</v>
      </c>
      <c r="CB144">
        <v>1.3102100000000001</v>
      </c>
      <c r="CC144">
        <v>1212.33</v>
      </c>
      <c r="CD144">
        <v>752.86099999999999</v>
      </c>
      <c r="CE144">
        <v>7343.04</v>
      </c>
      <c r="CF144">
        <v>0</v>
      </c>
      <c r="CG144">
        <v>0</v>
      </c>
      <c r="CH144">
        <v>4788450</v>
      </c>
      <c r="CI144">
        <v>1311.29</v>
      </c>
      <c r="CJ144">
        <v>12.7216</v>
      </c>
      <c r="CK144">
        <v>1035620</v>
      </c>
      <c r="CL144">
        <v>1412030</v>
      </c>
      <c r="CM144">
        <v>287.048</v>
      </c>
      <c r="CN144">
        <v>1.3181400000000001</v>
      </c>
      <c r="CO144">
        <v>1189.31</v>
      </c>
      <c r="CP144">
        <v>703.54200000000003</v>
      </c>
      <c r="CQ144">
        <v>7343.04</v>
      </c>
      <c r="CR144">
        <v>703.54100000000005</v>
      </c>
      <c r="CS144">
        <v>0.99999857862075003</v>
      </c>
      <c r="CT144">
        <v>2107.7399999999998</v>
      </c>
      <c r="CU144">
        <v>163.90299999999999</v>
      </c>
      <c r="CV144">
        <v>4.4800600000000003E-2</v>
      </c>
      <c r="CW144">
        <v>117988</v>
      </c>
      <c r="CX144">
        <v>165035</v>
      </c>
      <c r="CY144">
        <v>287.04300000000001</v>
      </c>
      <c r="CZ144">
        <v>1.3905099999999999</v>
      </c>
      <c r="DA144" s="17">
        <v>1022.09</v>
      </c>
      <c r="DB144">
        <v>255.74600000000001</v>
      </c>
      <c r="DC144">
        <v>7343.04</v>
      </c>
      <c r="DD144">
        <v>1728.86</v>
      </c>
      <c r="DE144">
        <v>6.7600699999999998</v>
      </c>
      <c r="DF144" s="121">
        <f t="shared" ref="DF144:DF152" si="60">CV144*DD144/(0.00001716*(CU144/273)^1.5*(273+111)/(CU144+111))</f>
        <v>6946055.4278501058</v>
      </c>
      <c r="DG144" s="121">
        <f t="shared" ref="DG144:DG152" si="61">CX144+0.5*DD144^2</f>
        <v>1659513.4497999998</v>
      </c>
      <c r="DL144" s="2">
        <v>1426</v>
      </c>
      <c r="DM144" s="126">
        <f t="shared" ref="DM144:DM148" si="62">DL144+AH144/1000*V144</f>
        <v>4426</v>
      </c>
    </row>
    <row r="145" spans="1:117" s="2" customFormat="1">
      <c r="A145" s="1">
        <v>143</v>
      </c>
      <c r="B145" s="2" t="s">
        <v>341</v>
      </c>
      <c r="C145" s="2">
        <v>251003</v>
      </c>
      <c r="D145" s="3" t="s">
        <v>345</v>
      </c>
      <c r="E145" s="2" t="s">
        <v>150</v>
      </c>
      <c r="F145" s="2">
        <v>6.76</v>
      </c>
      <c r="G145" s="2">
        <v>1013.9</v>
      </c>
      <c r="H145" s="2">
        <v>26.2</v>
      </c>
      <c r="I145" s="2">
        <v>46.9</v>
      </c>
      <c r="J145" s="2" t="s">
        <v>151</v>
      </c>
      <c r="K145" s="2">
        <v>244</v>
      </c>
      <c r="L145" s="54" t="s">
        <v>347</v>
      </c>
      <c r="M145" s="2" t="s">
        <v>153</v>
      </c>
      <c r="N145" s="2" t="s">
        <v>154</v>
      </c>
      <c r="O145" s="2">
        <v>0.2</v>
      </c>
      <c r="P145" s="2">
        <v>27.1</v>
      </c>
      <c r="Q145" s="2">
        <v>1</v>
      </c>
      <c r="R145" s="2">
        <v>2500000</v>
      </c>
      <c r="S145" s="2" t="s">
        <v>155</v>
      </c>
      <c r="T145" s="54" t="s">
        <v>336</v>
      </c>
      <c r="U145" s="2" t="s">
        <v>157</v>
      </c>
      <c r="V145" s="2">
        <v>1500000</v>
      </c>
      <c r="W145" s="2">
        <v>1280</v>
      </c>
      <c r="X145" s="2">
        <v>32</v>
      </c>
      <c r="Y145" s="2" t="s">
        <v>158</v>
      </c>
      <c r="Z145" s="2">
        <v>9.5000000000000001E-2</v>
      </c>
      <c r="AA145" s="2">
        <f t="shared" si="58"/>
        <v>1.2</v>
      </c>
      <c r="AB145">
        <f t="shared" si="59"/>
        <v>27.1</v>
      </c>
      <c r="AC145" s="17">
        <v>114.18350684486801</v>
      </c>
      <c r="AF145" s="17">
        <v>85.181725345786703</v>
      </c>
      <c r="AG145" s="17">
        <v>1.72207009037263</v>
      </c>
      <c r="AH145" s="17">
        <v>2.2000000000000002</v>
      </c>
      <c r="AI145" s="17">
        <v>1118.0679785330999</v>
      </c>
      <c r="AJ145" s="17">
        <v>0.80559999999999998</v>
      </c>
      <c r="AK145" s="17">
        <v>0.32439999999999902</v>
      </c>
      <c r="AL145">
        <v>120000</v>
      </c>
      <c r="AM145">
        <v>300.25</v>
      </c>
      <c r="AN145">
        <v>1.3923000000000001</v>
      </c>
      <c r="AO145">
        <v>216139</v>
      </c>
      <c r="AP145">
        <v>302327</v>
      </c>
      <c r="AQ145">
        <v>287.05599999999998</v>
      </c>
      <c r="AR145">
        <v>1.39053</v>
      </c>
      <c r="AS145">
        <v>1022.1</v>
      </c>
      <c r="AT145">
        <v>346.14299999999997</v>
      </c>
      <c r="AU145">
        <v>6808.83</v>
      </c>
      <c r="AV145">
        <v>0</v>
      </c>
      <c r="AW145">
        <v>0</v>
      </c>
      <c r="AX145">
        <v>1445800</v>
      </c>
      <c r="AY145">
        <v>861.91399999999999</v>
      </c>
      <c r="AZ145">
        <v>5.8436599999999999</v>
      </c>
      <c r="BA145">
        <v>644471</v>
      </c>
      <c r="BB145">
        <v>891884</v>
      </c>
      <c r="BC145">
        <v>287.05</v>
      </c>
      <c r="BD145">
        <v>1.34789</v>
      </c>
      <c r="BE145">
        <v>1112.18</v>
      </c>
      <c r="BF145">
        <v>577.45500000000004</v>
      </c>
      <c r="BG145">
        <v>7202.24</v>
      </c>
      <c r="BH145">
        <v>266.38799999999998</v>
      </c>
      <c r="BI145">
        <v>0.461313868613139</v>
      </c>
      <c r="BJ145">
        <v>7675520</v>
      </c>
      <c r="BK145">
        <v>1462.62</v>
      </c>
      <c r="BL145">
        <v>18.2822</v>
      </c>
      <c r="BM145">
        <v>1175460</v>
      </c>
      <c r="BN145">
        <v>1595290</v>
      </c>
      <c r="BO145">
        <v>287.04199999999997</v>
      </c>
      <c r="BP145">
        <v>1.3120799999999999</v>
      </c>
      <c r="BQ145">
        <v>1206.83</v>
      </c>
      <c r="BR145">
        <v>740.57799999999997</v>
      </c>
      <c r="BS145">
        <v>7339.87</v>
      </c>
      <c r="BT145">
        <v>0</v>
      </c>
      <c r="BU145">
        <v>0</v>
      </c>
      <c r="BV145">
        <v>8518170</v>
      </c>
      <c r="BW145">
        <v>1498.7</v>
      </c>
      <c r="BX145">
        <v>19.801200000000001</v>
      </c>
      <c r="BY145">
        <v>1209380</v>
      </c>
      <c r="BZ145">
        <v>1639560</v>
      </c>
      <c r="CA145">
        <v>287.03800000000001</v>
      </c>
      <c r="CB145">
        <v>1.3107899999999999</v>
      </c>
      <c r="CC145">
        <v>1210.6199999999999</v>
      </c>
      <c r="CD145">
        <v>749.08600000000001</v>
      </c>
      <c r="CE145">
        <v>7339.87</v>
      </c>
      <c r="CF145">
        <v>0</v>
      </c>
      <c r="CG145">
        <v>0</v>
      </c>
      <c r="CH145">
        <v>4622120</v>
      </c>
      <c r="CI145">
        <v>1296.76</v>
      </c>
      <c r="CJ145">
        <v>12.417199999999999</v>
      </c>
      <c r="CK145">
        <v>1022420</v>
      </c>
      <c r="CL145">
        <v>1394660</v>
      </c>
      <c r="CM145">
        <v>287.04899999999998</v>
      </c>
      <c r="CN145">
        <v>1.31877</v>
      </c>
      <c r="CO145">
        <v>1187.53</v>
      </c>
      <c r="CP145">
        <v>699.86199999999997</v>
      </c>
      <c r="CQ145">
        <v>7339.87</v>
      </c>
      <c r="CR145">
        <v>699.86099999999999</v>
      </c>
      <c r="CS145">
        <v>0.99999857114688295</v>
      </c>
      <c r="CT145">
        <v>2040.34</v>
      </c>
      <c r="CU145">
        <v>161.934</v>
      </c>
      <c r="CV145">
        <v>4.3895200000000002E-2</v>
      </c>
      <c r="CW145">
        <v>116570</v>
      </c>
      <c r="CX145">
        <v>163052</v>
      </c>
      <c r="CY145">
        <v>287.04300000000001</v>
      </c>
      <c r="CZ145">
        <v>1.3905099999999999</v>
      </c>
      <c r="DA145">
        <v>1022.09</v>
      </c>
      <c r="DB145">
        <v>254.20500000000001</v>
      </c>
      <c r="DC145">
        <v>7339.88</v>
      </c>
      <c r="DD145">
        <v>1718.43</v>
      </c>
      <c r="DE145">
        <v>6.7600300000000004</v>
      </c>
      <c r="DF145" s="121">
        <f t="shared" si="60"/>
        <v>6839036.4005842702</v>
      </c>
      <c r="DG145" s="121">
        <f t="shared" si="61"/>
        <v>1639552.8324500001</v>
      </c>
      <c r="DH145" s="4"/>
      <c r="DL145" s="2">
        <v>1336</v>
      </c>
      <c r="DM145" s="126">
        <f t="shared" si="62"/>
        <v>4636</v>
      </c>
    </row>
    <row r="146" spans="1:117" s="2" customFormat="1">
      <c r="A146" s="1">
        <v>144</v>
      </c>
      <c r="B146" s="2" t="s">
        <v>341</v>
      </c>
      <c r="C146" s="2">
        <v>251003</v>
      </c>
      <c r="D146" s="3" t="s">
        <v>348</v>
      </c>
      <c r="E146" s="2" t="s">
        <v>150</v>
      </c>
      <c r="F146" s="2">
        <v>6.76</v>
      </c>
      <c r="G146" s="2">
        <v>1013.4</v>
      </c>
      <c r="H146" s="2">
        <v>25.8</v>
      </c>
      <c r="I146" s="2">
        <v>47.2</v>
      </c>
      <c r="J146" s="2" t="s">
        <v>151</v>
      </c>
      <c r="K146" s="2">
        <v>220</v>
      </c>
      <c r="L146" s="54" t="s">
        <v>349</v>
      </c>
      <c r="M146" s="2" t="s">
        <v>153</v>
      </c>
      <c r="N146" s="2" t="s">
        <v>154</v>
      </c>
      <c r="O146" s="2">
        <v>0.2</v>
      </c>
      <c r="P146" s="2">
        <v>27</v>
      </c>
      <c r="Q146" s="2">
        <v>1</v>
      </c>
      <c r="R146" s="2">
        <v>2500000</v>
      </c>
      <c r="S146" s="2" t="s">
        <v>155</v>
      </c>
      <c r="T146" s="54" t="s">
        <v>336</v>
      </c>
      <c r="U146" s="2" t="s">
        <v>157</v>
      </c>
      <c r="V146" s="2">
        <v>1500000</v>
      </c>
      <c r="W146" s="2">
        <v>1280</v>
      </c>
      <c r="X146" s="2">
        <v>32</v>
      </c>
      <c r="Y146" s="2" t="s">
        <v>158</v>
      </c>
      <c r="Z146" s="2">
        <v>9.5000000000000001E-2</v>
      </c>
      <c r="AA146" s="2">
        <f t="shared" si="58"/>
        <v>1.2</v>
      </c>
      <c r="AB146">
        <f t="shared" si="59"/>
        <v>27</v>
      </c>
      <c r="AC146" s="17">
        <v>115.92268928663199</v>
      </c>
      <c r="AF146" s="17">
        <v>86.059140359592902</v>
      </c>
      <c r="AG146" s="17">
        <v>1.63270159261662</v>
      </c>
      <c r="AH146" s="17">
        <v>2.1</v>
      </c>
      <c r="AI146" s="17">
        <v>1118.0679785330999</v>
      </c>
      <c r="AJ146" s="17">
        <v>0.80720000000000003</v>
      </c>
      <c r="AK146" s="17">
        <v>0.39839999999999998</v>
      </c>
      <c r="AL146">
        <v>120000</v>
      </c>
      <c r="AM146">
        <v>300.14999999999998</v>
      </c>
      <c r="AN146">
        <v>1.39276</v>
      </c>
      <c r="AO146">
        <v>216067</v>
      </c>
      <c r="AP146">
        <v>302227</v>
      </c>
      <c r="AQ146">
        <v>287.05599999999998</v>
      </c>
      <c r="AR146">
        <v>1.39053</v>
      </c>
      <c r="AS146">
        <v>1022.1</v>
      </c>
      <c r="AT146">
        <v>346.08499999999998</v>
      </c>
      <c r="AU146">
        <v>6808.48</v>
      </c>
      <c r="AV146">
        <v>0</v>
      </c>
      <c r="AW146">
        <v>0</v>
      </c>
      <c r="AX146">
        <v>1446280</v>
      </c>
      <c r="AY146">
        <v>861.83</v>
      </c>
      <c r="AZ146">
        <v>5.8461800000000004</v>
      </c>
      <c r="BA146">
        <v>644402</v>
      </c>
      <c r="BB146">
        <v>891790</v>
      </c>
      <c r="BC146">
        <v>287.05</v>
      </c>
      <c r="BD146">
        <v>1.34789</v>
      </c>
      <c r="BE146">
        <v>1112.1600000000001</v>
      </c>
      <c r="BF146">
        <v>577.428</v>
      </c>
      <c r="BG146">
        <v>7202.04</v>
      </c>
      <c r="BH146">
        <v>266.36200000000002</v>
      </c>
      <c r="BI146">
        <v>0.46129041196478199</v>
      </c>
      <c r="BJ146">
        <v>7678910</v>
      </c>
      <c r="BK146">
        <v>1462.56</v>
      </c>
      <c r="BL146">
        <v>18.2911</v>
      </c>
      <c r="BM146">
        <v>1175400</v>
      </c>
      <c r="BN146">
        <v>1595210</v>
      </c>
      <c r="BO146">
        <v>287.04199999999997</v>
      </c>
      <c r="BP146">
        <v>1.3120799999999999</v>
      </c>
      <c r="BQ146">
        <v>1206.82</v>
      </c>
      <c r="BR146">
        <v>740.56299999999999</v>
      </c>
      <c r="BS146">
        <v>7339.69</v>
      </c>
      <c r="BT146">
        <v>0</v>
      </c>
      <c r="BU146">
        <v>0</v>
      </c>
      <c r="BV146">
        <v>8605910</v>
      </c>
      <c r="BW146">
        <v>1502.07</v>
      </c>
      <c r="BX146">
        <v>19.9604</v>
      </c>
      <c r="BY146">
        <v>1212560</v>
      </c>
      <c r="BZ146">
        <v>1643700</v>
      </c>
      <c r="CA146">
        <v>287.03800000000001</v>
      </c>
      <c r="CB146">
        <v>1.31067</v>
      </c>
      <c r="CC146">
        <v>1210.97</v>
      </c>
      <c r="CD146">
        <v>749.87300000000005</v>
      </c>
      <c r="CE146">
        <v>7339.69</v>
      </c>
      <c r="CF146">
        <v>0</v>
      </c>
      <c r="CG146">
        <v>0</v>
      </c>
      <c r="CH146">
        <v>4669970</v>
      </c>
      <c r="CI146">
        <v>1299.78</v>
      </c>
      <c r="CJ146">
        <v>12.5166</v>
      </c>
      <c r="CK146">
        <v>1025160</v>
      </c>
      <c r="CL146">
        <v>1398260</v>
      </c>
      <c r="CM146">
        <v>287.04899999999998</v>
      </c>
      <c r="CN146">
        <v>1.31864</v>
      </c>
      <c r="CO146">
        <v>1187.9000000000001</v>
      </c>
      <c r="CP146">
        <v>700.62900000000002</v>
      </c>
      <c r="CQ146">
        <v>7339.69</v>
      </c>
      <c r="CR146">
        <v>700.62800000000004</v>
      </c>
      <c r="CS146">
        <v>0.99999857271109205</v>
      </c>
      <c r="CT146">
        <v>2059.4299999999998</v>
      </c>
      <c r="CU146">
        <v>162.32599999999999</v>
      </c>
      <c r="CV146">
        <v>4.4199200000000001E-2</v>
      </c>
      <c r="CW146">
        <v>116852</v>
      </c>
      <c r="CX146">
        <v>163447</v>
      </c>
      <c r="CY146">
        <v>287.04300000000001</v>
      </c>
      <c r="CZ146">
        <v>1.3905099999999999</v>
      </c>
      <c r="DA146">
        <v>1022.09</v>
      </c>
      <c r="DB146">
        <v>254.512</v>
      </c>
      <c r="DC146">
        <v>7339.7</v>
      </c>
      <c r="DD146">
        <v>1720.62</v>
      </c>
      <c r="DE146">
        <v>6.76044</v>
      </c>
      <c r="DF146" s="121">
        <f t="shared" si="60"/>
        <v>6880082.6170808254</v>
      </c>
      <c r="DG146" s="121">
        <f t="shared" si="61"/>
        <v>1643713.5921999998</v>
      </c>
      <c r="DH146" s="4"/>
      <c r="DL146" s="2">
        <v>1451</v>
      </c>
      <c r="DM146" s="126">
        <f t="shared" si="62"/>
        <v>4601</v>
      </c>
    </row>
    <row r="147" spans="1:117" s="2" customFormat="1">
      <c r="A147" s="1">
        <v>145</v>
      </c>
      <c r="B147" s="2" t="s">
        <v>326</v>
      </c>
      <c r="C147" s="2">
        <v>251003</v>
      </c>
      <c r="D147" s="3" t="s">
        <v>350</v>
      </c>
      <c r="E147" s="2" t="s">
        <v>150</v>
      </c>
      <c r="F147" s="2">
        <v>6.76</v>
      </c>
      <c r="G147" s="2">
        <v>1013.3</v>
      </c>
      <c r="H147" s="2">
        <v>25.2</v>
      </c>
      <c r="I147" s="2">
        <v>44.9</v>
      </c>
      <c r="J147" s="2" t="s">
        <v>151</v>
      </c>
      <c r="K147" s="2">
        <v>212.3</v>
      </c>
      <c r="L147" s="54" t="s">
        <v>351</v>
      </c>
      <c r="M147" s="2" t="s">
        <v>153</v>
      </c>
      <c r="N147" s="2" t="s">
        <v>154</v>
      </c>
      <c r="O147" s="2">
        <v>0.2</v>
      </c>
      <c r="P147" s="2">
        <v>26.6</v>
      </c>
      <c r="Q147" s="2">
        <v>1</v>
      </c>
      <c r="R147" s="2">
        <v>2500000</v>
      </c>
      <c r="S147" s="2" t="s">
        <v>155</v>
      </c>
      <c r="T147" s="54" t="s">
        <v>336</v>
      </c>
      <c r="U147" s="2" t="s">
        <v>157</v>
      </c>
      <c r="V147" s="2">
        <v>1500000</v>
      </c>
      <c r="W147" s="2">
        <v>1280</v>
      </c>
      <c r="X147" s="2">
        <v>32</v>
      </c>
      <c r="Y147" s="2" t="s">
        <v>158</v>
      </c>
      <c r="Z147" s="2">
        <v>9.5000000000000001E-2</v>
      </c>
      <c r="AA147" s="2">
        <f t="shared" si="58"/>
        <v>1.2</v>
      </c>
      <c r="AB147">
        <f t="shared" si="59"/>
        <v>26.6</v>
      </c>
      <c r="AC147" s="17">
        <v>116.072270940615</v>
      </c>
      <c r="AF147" s="17">
        <v>86.079145195336395</v>
      </c>
      <c r="AG147" s="17">
        <v>1.65056131311902</v>
      </c>
      <c r="AH147" s="17">
        <v>2.1</v>
      </c>
      <c r="AI147" s="17">
        <v>1115.0758251561101</v>
      </c>
      <c r="AJ147" s="17">
        <v>0.80960000000000099</v>
      </c>
      <c r="AK147" s="17">
        <v>0.4168</v>
      </c>
      <c r="AL147">
        <v>120000</v>
      </c>
      <c r="AM147">
        <v>299.75</v>
      </c>
      <c r="AN147">
        <v>1.39462</v>
      </c>
      <c r="AO147">
        <v>215779</v>
      </c>
      <c r="AP147">
        <v>301824</v>
      </c>
      <c r="AQ147">
        <v>287.05599999999998</v>
      </c>
      <c r="AR147">
        <v>1.39053</v>
      </c>
      <c r="AS147">
        <v>1022.1</v>
      </c>
      <c r="AT147">
        <v>345.85399999999998</v>
      </c>
      <c r="AU147">
        <v>6807.11</v>
      </c>
      <c r="AV147">
        <v>0</v>
      </c>
      <c r="AW147">
        <v>0</v>
      </c>
      <c r="AX147">
        <v>1440260</v>
      </c>
      <c r="AY147">
        <v>858.53099999999995</v>
      </c>
      <c r="AZ147">
        <v>5.8442299999999996</v>
      </c>
      <c r="BA147">
        <v>641677</v>
      </c>
      <c r="BB147">
        <v>888118</v>
      </c>
      <c r="BC147">
        <v>287.05</v>
      </c>
      <c r="BD147">
        <v>1.34819</v>
      </c>
      <c r="BE147">
        <v>1111.47</v>
      </c>
      <c r="BF147">
        <v>576.38400000000001</v>
      </c>
      <c r="BG147">
        <v>7198.97</v>
      </c>
      <c r="BH147">
        <v>266.09300000000002</v>
      </c>
      <c r="BI147">
        <v>0.46165924106151501</v>
      </c>
      <c r="BJ147">
        <v>7634600</v>
      </c>
      <c r="BK147">
        <v>1456.38</v>
      </c>
      <c r="BL147">
        <v>18.262699999999999</v>
      </c>
      <c r="BM147">
        <v>1169620</v>
      </c>
      <c r="BN147">
        <v>1587660</v>
      </c>
      <c r="BO147">
        <v>287.04199999999997</v>
      </c>
      <c r="BP147">
        <v>1.3123</v>
      </c>
      <c r="BQ147">
        <v>1206.17</v>
      </c>
      <c r="BR147">
        <v>739.09299999999996</v>
      </c>
      <c r="BS147">
        <v>7336.18</v>
      </c>
      <c r="BT147">
        <v>0</v>
      </c>
      <c r="BU147">
        <v>0</v>
      </c>
      <c r="BV147">
        <v>8607910</v>
      </c>
      <c r="BW147">
        <v>1497.87</v>
      </c>
      <c r="BX147">
        <v>20.021000000000001</v>
      </c>
      <c r="BY147">
        <v>1208590</v>
      </c>
      <c r="BZ147">
        <v>1638540</v>
      </c>
      <c r="CA147">
        <v>287.03800000000001</v>
      </c>
      <c r="CB147">
        <v>1.3108200000000001</v>
      </c>
      <c r="CC147">
        <v>1210.53</v>
      </c>
      <c r="CD147">
        <v>748.89099999999996</v>
      </c>
      <c r="CE147">
        <v>7336.18</v>
      </c>
      <c r="CF147">
        <v>0</v>
      </c>
      <c r="CG147">
        <v>0</v>
      </c>
      <c r="CH147">
        <v>4670740</v>
      </c>
      <c r="CI147">
        <v>1296.02</v>
      </c>
      <c r="CJ147">
        <v>12.555099999999999</v>
      </c>
      <c r="CK147">
        <v>1021750</v>
      </c>
      <c r="CL147">
        <v>1393770</v>
      </c>
      <c r="CM147">
        <v>287.04899999999998</v>
      </c>
      <c r="CN147">
        <v>1.3188</v>
      </c>
      <c r="CO147">
        <v>1187.44</v>
      </c>
      <c r="CP147">
        <v>699.67100000000005</v>
      </c>
      <c r="CQ147">
        <v>7336.18</v>
      </c>
      <c r="CR147">
        <v>699.67100000000005</v>
      </c>
      <c r="CS147">
        <v>1</v>
      </c>
      <c r="CT147">
        <v>2061.67</v>
      </c>
      <c r="CU147">
        <v>161.82400000000001</v>
      </c>
      <c r="CV147">
        <v>4.4384300000000002E-2</v>
      </c>
      <c r="CW147">
        <v>116491</v>
      </c>
      <c r="CX147">
        <v>162941</v>
      </c>
      <c r="CY147">
        <v>287.04300000000001</v>
      </c>
      <c r="CZ147">
        <v>1.3905099999999999</v>
      </c>
      <c r="DA147">
        <v>1022.09</v>
      </c>
      <c r="DB147">
        <v>254.119</v>
      </c>
      <c r="DC147">
        <v>7336.18</v>
      </c>
      <c r="DD147">
        <v>1717.9</v>
      </c>
      <c r="DE147">
        <v>6.7602399999999996</v>
      </c>
      <c r="DF147" s="121">
        <f t="shared" si="60"/>
        <v>6917368.1723565804</v>
      </c>
      <c r="DG147" s="121">
        <f t="shared" si="61"/>
        <v>1638531.2050000001</v>
      </c>
      <c r="DH147" s="19"/>
      <c r="DL147" s="2">
        <v>1560</v>
      </c>
      <c r="DM147" s="126">
        <f t="shared" si="62"/>
        <v>4710</v>
      </c>
    </row>
    <row r="148" spans="1:117" s="2" customFormat="1">
      <c r="A148" s="1">
        <v>146</v>
      </c>
      <c r="B148" s="2" t="s">
        <v>331</v>
      </c>
      <c r="C148" s="2">
        <v>251003</v>
      </c>
      <c r="D148" s="3" t="s">
        <v>350</v>
      </c>
      <c r="E148" s="2" t="s">
        <v>150</v>
      </c>
      <c r="F148" s="2">
        <v>6.76</v>
      </c>
      <c r="G148" s="2">
        <v>1013.2</v>
      </c>
      <c r="H148" s="2">
        <v>25</v>
      </c>
      <c r="I148" s="2">
        <v>45.2</v>
      </c>
      <c r="J148" s="2" t="s">
        <v>151</v>
      </c>
      <c r="K148" s="2">
        <v>215.6</v>
      </c>
      <c r="L148" s="54" t="s">
        <v>352</v>
      </c>
      <c r="M148" s="2" t="s">
        <v>153</v>
      </c>
      <c r="N148" s="2" t="s">
        <v>154</v>
      </c>
      <c r="O148" s="2">
        <v>0.2</v>
      </c>
      <c r="P148" s="2">
        <v>26.9</v>
      </c>
      <c r="Q148" s="2">
        <v>1</v>
      </c>
      <c r="R148" s="2">
        <v>2500000</v>
      </c>
      <c r="S148" s="2" t="s">
        <v>155</v>
      </c>
      <c r="T148" s="54" t="s">
        <v>330</v>
      </c>
      <c r="U148" s="2" t="s">
        <v>157</v>
      </c>
      <c r="V148" s="2">
        <v>1500000</v>
      </c>
      <c r="W148" s="2">
        <v>1280</v>
      </c>
      <c r="X148" s="2">
        <v>32</v>
      </c>
      <c r="Y148" s="2" t="s">
        <v>158</v>
      </c>
      <c r="Z148" s="2">
        <v>9.5000000000000001E-2</v>
      </c>
      <c r="AA148" s="2">
        <f t="shared" si="58"/>
        <v>1.2</v>
      </c>
      <c r="AB148">
        <f t="shared" si="59"/>
        <v>26.9</v>
      </c>
      <c r="AC148" s="17">
        <v>123.353673659695</v>
      </c>
      <c r="AF148" s="17">
        <v>90.508660592372493</v>
      </c>
      <c r="AG148" s="17">
        <v>1.9141996102962899</v>
      </c>
      <c r="AH148" s="17">
        <v>2.1</v>
      </c>
      <c r="AI148" s="17">
        <v>1136.3636363636399</v>
      </c>
      <c r="AJ148" s="17">
        <v>0.79400000000000004</v>
      </c>
      <c r="AK148" s="17">
        <v>0.38080000000000003</v>
      </c>
      <c r="AL148">
        <v>120000</v>
      </c>
      <c r="AM148">
        <v>300.05</v>
      </c>
      <c r="AN148">
        <v>1.39323</v>
      </c>
      <c r="AO148">
        <v>215995</v>
      </c>
      <c r="AP148">
        <v>302126</v>
      </c>
      <c r="AQ148">
        <v>287.05599999999998</v>
      </c>
      <c r="AR148">
        <v>1.39053</v>
      </c>
      <c r="AS148">
        <v>1022.1</v>
      </c>
      <c r="AT148">
        <v>346.02699999999999</v>
      </c>
      <c r="AU148">
        <v>6808.14</v>
      </c>
      <c r="AV148">
        <v>0</v>
      </c>
      <c r="AW148">
        <v>0</v>
      </c>
      <c r="AX148">
        <v>1495810</v>
      </c>
      <c r="AY148">
        <v>879.99300000000005</v>
      </c>
      <c r="AZ148">
        <v>5.9215900000000001</v>
      </c>
      <c r="BA148">
        <v>659442</v>
      </c>
      <c r="BB148">
        <v>912046</v>
      </c>
      <c r="BC148">
        <v>287.05099999999999</v>
      </c>
      <c r="BD148">
        <v>1.3463000000000001</v>
      </c>
      <c r="BE148">
        <v>1115.97</v>
      </c>
      <c r="BF148">
        <v>583.13199999999995</v>
      </c>
      <c r="BG148">
        <v>7215.6</v>
      </c>
      <c r="BH148">
        <v>267.363</v>
      </c>
      <c r="BI148">
        <v>0.45849481763991701</v>
      </c>
      <c r="BJ148">
        <v>8041130</v>
      </c>
      <c r="BK148">
        <v>1498.91</v>
      </c>
      <c r="BL148">
        <v>18.689599999999999</v>
      </c>
      <c r="BM148">
        <v>1209570</v>
      </c>
      <c r="BN148">
        <v>1639820</v>
      </c>
      <c r="BO148">
        <v>287.04000000000002</v>
      </c>
      <c r="BP148">
        <v>1.3107800000000001</v>
      </c>
      <c r="BQ148">
        <v>1210.6400000000001</v>
      </c>
      <c r="BR148">
        <v>749.13400000000001</v>
      </c>
      <c r="BS148">
        <v>7356.59</v>
      </c>
      <c r="BT148">
        <v>0</v>
      </c>
      <c r="BU148">
        <v>0</v>
      </c>
      <c r="BV148">
        <v>9050870</v>
      </c>
      <c r="BW148">
        <v>1540.7</v>
      </c>
      <c r="BX148">
        <v>20.466200000000001</v>
      </c>
      <c r="BY148">
        <v>1249180</v>
      </c>
      <c r="BZ148">
        <v>1691420</v>
      </c>
      <c r="CA148">
        <v>287.03500000000003</v>
      </c>
      <c r="CB148">
        <v>1.3093300000000001</v>
      </c>
      <c r="CC148">
        <v>1214.96</v>
      </c>
      <c r="CD148">
        <v>758.84</v>
      </c>
      <c r="CE148">
        <v>7356.59</v>
      </c>
      <c r="CF148">
        <v>0</v>
      </c>
      <c r="CG148">
        <v>0</v>
      </c>
      <c r="CH148">
        <v>4914560</v>
      </c>
      <c r="CI148">
        <v>1334.45</v>
      </c>
      <c r="CJ148">
        <v>12.83</v>
      </c>
      <c r="CK148">
        <v>1056770</v>
      </c>
      <c r="CL148">
        <v>1439820</v>
      </c>
      <c r="CM148">
        <v>287.048</v>
      </c>
      <c r="CN148">
        <v>1.31714</v>
      </c>
      <c r="CO148">
        <v>1192.17</v>
      </c>
      <c r="CP148">
        <v>709.36099999999999</v>
      </c>
      <c r="CQ148">
        <v>7356.59</v>
      </c>
      <c r="CR148">
        <v>709.36</v>
      </c>
      <c r="CS148">
        <v>0.99999859028054805</v>
      </c>
      <c r="CT148">
        <v>2152.85</v>
      </c>
      <c r="CU148">
        <v>167.04300000000001</v>
      </c>
      <c r="CV148">
        <v>4.4899099999999997E-2</v>
      </c>
      <c r="CW148">
        <v>120248</v>
      </c>
      <c r="CX148">
        <v>168197</v>
      </c>
      <c r="CY148">
        <v>287.04300000000001</v>
      </c>
      <c r="CZ148">
        <v>1.3905099999999999</v>
      </c>
      <c r="DA148">
        <v>1022.09</v>
      </c>
      <c r="DB148">
        <v>258.18400000000003</v>
      </c>
      <c r="DC148">
        <v>7356.59</v>
      </c>
      <c r="DD148">
        <v>1745.4</v>
      </c>
      <c r="DE148">
        <v>6.7603099999999996</v>
      </c>
      <c r="DF148" s="121">
        <f t="shared" si="60"/>
        <v>6908720.3563399659</v>
      </c>
      <c r="DG148" s="121">
        <f t="shared" si="61"/>
        <v>1691407.58</v>
      </c>
      <c r="DH148" s="19"/>
      <c r="DL148" s="2">
        <v>2101</v>
      </c>
      <c r="DM148" s="126">
        <f t="shared" si="62"/>
        <v>5251</v>
      </c>
    </row>
    <row r="149" spans="1:117" s="2" customFormat="1">
      <c r="A149" s="1">
        <v>147</v>
      </c>
      <c r="B149" s="2" t="s">
        <v>331</v>
      </c>
      <c r="C149" s="2">
        <v>251003</v>
      </c>
      <c r="D149" s="3" t="s">
        <v>345</v>
      </c>
      <c r="E149" s="2" t="s">
        <v>150</v>
      </c>
      <c r="F149" s="2">
        <v>6.76</v>
      </c>
      <c r="G149" s="2">
        <v>1013.2</v>
      </c>
      <c r="H149" s="2">
        <v>24.8</v>
      </c>
      <c r="I149" s="2">
        <v>45.8</v>
      </c>
      <c r="J149" s="2" t="s">
        <v>151</v>
      </c>
      <c r="K149" s="2">
        <v>214.5</v>
      </c>
      <c r="L149" s="54" t="s">
        <v>353</v>
      </c>
      <c r="M149" s="2" t="s">
        <v>153</v>
      </c>
      <c r="N149" s="2" t="s">
        <v>154</v>
      </c>
      <c r="O149" s="2">
        <v>0.2</v>
      </c>
      <c r="P149" s="2">
        <v>26.7</v>
      </c>
      <c r="Q149" s="2">
        <v>0.96</v>
      </c>
      <c r="R149" s="2">
        <v>2500000</v>
      </c>
      <c r="S149" s="2" t="s">
        <v>155</v>
      </c>
      <c r="T149" s="54" t="s">
        <v>330</v>
      </c>
      <c r="U149" s="2" t="s">
        <v>157</v>
      </c>
      <c r="V149" s="2">
        <v>1500000</v>
      </c>
      <c r="W149" s="2">
        <v>1280</v>
      </c>
      <c r="X149" s="2">
        <v>32</v>
      </c>
      <c r="Y149" s="2" t="s">
        <v>158</v>
      </c>
      <c r="Z149" s="2">
        <v>9.5000000000000001E-2</v>
      </c>
      <c r="AA149" s="2">
        <f t="shared" si="58"/>
        <v>1.2</v>
      </c>
      <c r="AB149">
        <f t="shared" si="59"/>
        <v>26.7</v>
      </c>
      <c r="AC149" s="17">
        <v>125.500907289072</v>
      </c>
      <c r="AF149" s="17">
        <v>79.669149256411103</v>
      </c>
      <c r="AG149" s="17">
        <v>0.94409220742254696</v>
      </c>
      <c r="AH149" s="17">
        <v>3.9</v>
      </c>
      <c r="AI149" s="17">
        <v>966.74400618716004</v>
      </c>
      <c r="AJ149" s="17">
        <v>0.91400000000000003</v>
      </c>
      <c r="AK149" s="17">
        <v>2.694</v>
      </c>
      <c r="AL149">
        <v>120000</v>
      </c>
      <c r="AM149">
        <v>299.85000000000002</v>
      </c>
      <c r="AN149">
        <v>1.3941600000000001</v>
      </c>
      <c r="AO149">
        <v>215851</v>
      </c>
      <c r="AP149">
        <v>301925</v>
      </c>
      <c r="AQ149">
        <v>287.05599999999998</v>
      </c>
      <c r="AR149">
        <v>1.39053</v>
      </c>
      <c r="AS149">
        <v>1022.1</v>
      </c>
      <c r="AT149">
        <v>345.91199999999998</v>
      </c>
      <c r="AU149">
        <v>6807.45</v>
      </c>
      <c r="AV149">
        <v>0</v>
      </c>
      <c r="AW149">
        <v>0</v>
      </c>
      <c r="AX149">
        <v>1073630</v>
      </c>
      <c r="AY149">
        <v>719.27700000000004</v>
      </c>
      <c r="AZ149">
        <v>5.2</v>
      </c>
      <c r="BA149">
        <v>529164</v>
      </c>
      <c r="BB149">
        <v>735632</v>
      </c>
      <c r="BC149">
        <v>287.04899999999998</v>
      </c>
      <c r="BD149">
        <v>1.3623700000000001</v>
      </c>
      <c r="BE149">
        <v>1079.2</v>
      </c>
      <c r="BF149">
        <v>530.41600000000005</v>
      </c>
      <c r="BG149">
        <v>7089.42</v>
      </c>
      <c r="BH149">
        <v>259.19</v>
      </c>
      <c r="BI149">
        <v>0.48865418841060598</v>
      </c>
      <c r="BJ149">
        <v>5059840</v>
      </c>
      <c r="BK149">
        <v>1176.4000000000001</v>
      </c>
      <c r="BL149">
        <v>14.984</v>
      </c>
      <c r="BM149">
        <v>914253</v>
      </c>
      <c r="BN149">
        <v>1251940</v>
      </c>
      <c r="BO149">
        <v>287.048</v>
      </c>
      <c r="BP149">
        <v>1.3248899999999999</v>
      </c>
      <c r="BQ149">
        <v>1170.56</v>
      </c>
      <c r="BR149">
        <v>668.47299999999996</v>
      </c>
      <c r="BS149">
        <v>7198.35</v>
      </c>
      <c r="BT149">
        <v>0</v>
      </c>
      <c r="BU149">
        <v>0</v>
      </c>
      <c r="BV149">
        <v>7966920</v>
      </c>
      <c r="BW149">
        <v>1312.84</v>
      </c>
      <c r="BX149">
        <v>21.141100000000002</v>
      </c>
      <c r="BY149">
        <v>1037050</v>
      </c>
      <c r="BZ149">
        <v>1413890</v>
      </c>
      <c r="CA149">
        <v>287.04599999999999</v>
      </c>
      <c r="CB149">
        <v>1.3180700000000001</v>
      </c>
      <c r="CC149">
        <v>1189.5</v>
      </c>
      <c r="CD149">
        <v>703.93799999999999</v>
      </c>
      <c r="CE149">
        <v>7198.35</v>
      </c>
      <c r="CF149">
        <v>0</v>
      </c>
      <c r="CG149">
        <v>0</v>
      </c>
      <c r="CH149">
        <v>4308580</v>
      </c>
      <c r="CI149">
        <v>1130.8499999999999</v>
      </c>
      <c r="CJ149">
        <v>13.273199999999999</v>
      </c>
      <c r="CK149">
        <v>874051</v>
      </c>
      <c r="CL149">
        <v>1198660</v>
      </c>
      <c r="CM149">
        <v>287.048</v>
      </c>
      <c r="CN149">
        <v>1.3273699999999999</v>
      </c>
      <c r="CO149">
        <v>1163.8900000000001</v>
      </c>
      <c r="CP149">
        <v>656.10500000000002</v>
      </c>
      <c r="CQ149">
        <v>7198.35</v>
      </c>
      <c r="CR149">
        <v>656.10400000000004</v>
      </c>
      <c r="CS149">
        <v>0.99999847585371204</v>
      </c>
      <c r="CT149">
        <v>1958.64</v>
      </c>
      <c r="CU149">
        <v>139.63399999999999</v>
      </c>
      <c r="CV149">
        <v>4.88665E-2</v>
      </c>
      <c r="CW149">
        <v>100517</v>
      </c>
      <c r="CX149">
        <v>140599</v>
      </c>
      <c r="CY149">
        <v>287.04700000000003</v>
      </c>
      <c r="CZ149">
        <v>1.39052</v>
      </c>
      <c r="DA149">
        <v>1022.09</v>
      </c>
      <c r="DB149">
        <v>236.054</v>
      </c>
      <c r="DC149">
        <v>7198.35</v>
      </c>
      <c r="DD149">
        <v>1595.8</v>
      </c>
      <c r="DE149">
        <v>6.7603499999999999</v>
      </c>
      <c r="DF149" s="121">
        <f t="shared" si="60"/>
        <v>8108459.9205831746</v>
      </c>
      <c r="DG149" s="121">
        <f t="shared" si="61"/>
        <v>1413887.8199999998</v>
      </c>
      <c r="DH149" s="4"/>
    </row>
    <row r="150" spans="1:117" s="2" customFormat="1">
      <c r="A150" s="1">
        <v>148</v>
      </c>
      <c r="B150" s="2" t="s">
        <v>355</v>
      </c>
      <c r="C150" s="2">
        <v>251028</v>
      </c>
      <c r="D150" s="3" t="s">
        <v>350</v>
      </c>
      <c r="E150" s="2" t="s">
        <v>150</v>
      </c>
      <c r="F150" s="2">
        <v>6.76</v>
      </c>
      <c r="G150" s="2">
        <v>1026.4000000000001</v>
      </c>
      <c r="H150" s="2">
        <v>21.2</v>
      </c>
      <c r="I150" s="2">
        <v>30.9</v>
      </c>
      <c r="J150" s="2" t="s">
        <v>151</v>
      </c>
      <c r="K150" s="2">
        <v>228</v>
      </c>
      <c r="L150" s="54" t="s">
        <v>354</v>
      </c>
      <c r="M150" s="2" t="s">
        <v>153</v>
      </c>
      <c r="N150" s="2" t="s">
        <v>154</v>
      </c>
      <c r="O150" s="2">
        <v>0.2</v>
      </c>
      <c r="P150" s="2">
        <v>22.7</v>
      </c>
      <c r="Q150" s="2">
        <v>1</v>
      </c>
      <c r="R150" s="2">
        <v>2500000</v>
      </c>
      <c r="S150" s="2" t="s">
        <v>155</v>
      </c>
      <c r="T150" s="54" t="s">
        <v>356</v>
      </c>
      <c r="U150" s="2" t="s">
        <v>157</v>
      </c>
      <c r="V150" s="2">
        <v>1500000</v>
      </c>
      <c r="W150" s="2">
        <v>1280</v>
      </c>
      <c r="X150" s="2">
        <v>32</v>
      </c>
      <c r="Y150" s="2" t="s">
        <v>158</v>
      </c>
      <c r="Z150" s="2">
        <v>9.5000000000000001E-2</v>
      </c>
      <c r="AA150" s="2">
        <f t="shared" si="58"/>
        <v>1.2</v>
      </c>
      <c r="AB150">
        <f t="shared" si="59"/>
        <v>22.7</v>
      </c>
      <c r="AC150" s="17">
        <v>122.90230099715519</v>
      </c>
      <c r="AD150" s="17"/>
      <c r="AE150" s="17"/>
      <c r="AF150" s="17">
        <v>89.178679218294562</v>
      </c>
      <c r="AG150" s="17">
        <v>2.1207363382595621</v>
      </c>
      <c r="AH150" s="17">
        <v>2.4</v>
      </c>
      <c r="AI150" s="17">
        <v>1122.0825852782771</v>
      </c>
      <c r="AJ150" s="17">
        <v>0.81999999999999951</v>
      </c>
      <c r="AK150" s="17">
        <v>0.34239999999999959</v>
      </c>
      <c r="AL150" s="17">
        <v>120000</v>
      </c>
      <c r="AM150" s="17">
        <v>295.85000000000002</v>
      </c>
      <c r="AN150" s="17">
        <v>1.4130100000000001</v>
      </c>
      <c r="AO150" s="17">
        <v>212971</v>
      </c>
      <c r="AP150" s="17">
        <v>297897</v>
      </c>
      <c r="AQ150" s="17">
        <v>287.05500000000001</v>
      </c>
      <c r="AR150" s="17">
        <v>1.39053</v>
      </c>
      <c r="AS150" s="17">
        <v>1022.1</v>
      </c>
      <c r="AT150" s="17">
        <v>343.59699999999998</v>
      </c>
      <c r="AU150" s="17">
        <v>6793.57</v>
      </c>
      <c r="AV150" s="17">
        <v>0</v>
      </c>
      <c r="AW150" s="17">
        <v>0</v>
      </c>
      <c r="AX150" s="17">
        <v>1478180</v>
      </c>
      <c r="AY150" s="17">
        <v>862.19399999999996</v>
      </c>
      <c r="AZ150" s="17">
        <v>5.9725999999999999</v>
      </c>
      <c r="BA150" s="17">
        <v>644703</v>
      </c>
      <c r="BB150" s="17">
        <v>892196</v>
      </c>
      <c r="BC150" s="17">
        <v>287.05</v>
      </c>
      <c r="BD150" s="17">
        <v>1.3478600000000001</v>
      </c>
      <c r="BE150" s="17">
        <v>1112.23</v>
      </c>
      <c r="BF150" s="17">
        <v>577.54300000000001</v>
      </c>
      <c r="BG150" s="17">
        <v>7196.24</v>
      </c>
      <c r="BH150" s="17">
        <v>265.464</v>
      </c>
      <c r="BI150" s="17">
        <v>0.45964369752555218</v>
      </c>
      <c r="BJ150" s="17">
        <v>7906500</v>
      </c>
      <c r="BK150" s="17">
        <v>1467.8</v>
      </c>
      <c r="BL150" s="17">
        <v>18.766100000000002</v>
      </c>
      <c r="BM150" s="17">
        <v>1180300</v>
      </c>
      <c r="BN150" s="17">
        <v>1601620</v>
      </c>
      <c r="BO150" s="17">
        <v>287.041</v>
      </c>
      <c r="BP150" s="17">
        <v>1.31189</v>
      </c>
      <c r="BQ150" s="17">
        <v>1207.3699999999999</v>
      </c>
      <c r="BR150" s="17">
        <v>741.80600000000004</v>
      </c>
      <c r="BS150" s="17">
        <v>7335.68</v>
      </c>
      <c r="BT150" s="17">
        <v>0</v>
      </c>
      <c r="BU150" s="17">
        <v>0</v>
      </c>
      <c r="BV150" s="17">
        <v>8917870</v>
      </c>
      <c r="BW150" s="17">
        <v>1509.65</v>
      </c>
      <c r="BX150" s="17">
        <v>20.580100000000002</v>
      </c>
      <c r="BY150" s="17">
        <v>1219730</v>
      </c>
      <c r="BZ150" s="17">
        <v>1653060</v>
      </c>
      <c r="CA150" s="17">
        <v>287.036</v>
      </c>
      <c r="CB150" s="17">
        <v>1.3104</v>
      </c>
      <c r="CC150" s="17">
        <v>1211.77</v>
      </c>
      <c r="CD150" s="17">
        <v>751.64400000000001</v>
      </c>
      <c r="CE150" s="17">
        <v>7335.68</v>
      </c>
      <c r="CF150" s="17">
        <v>0</v>
      </c>
      <c r="CG150" s="17">
        <v>0</v>
      </c>
      <c r="CH150" s="17">
        <v>4839790</v>
      </c>
      <c r="CI150" s="17">
        <v>1306.5899999999999</v>
      </c>
      <c r="CJ150" s="17">
        <v>12.904199999999999</v>
      </c>
      <c r="CK150" s="17">
        <v>1031350</v>
      </c>
      <c r="CL150" s="17">
        <v>1406410</v>
      </c>
      <c r="CM150" s="17">
        <v>287.048</v>
      </c>
      <c r="CN150" s="17">
        <v>1.3183400000000001</v>
      </c>
      <c r="CO150" s="17">
        <v>1188.74</v>
      </c>
      <c r="CP150" s="17">
        <v>702.35500000000002</v>
      </c>
      <c r="CQ150" s="17">
        <v>7335.68</v>
      </c>
      <c r="CR150" s="17">
        <v>702.35400000000004</v>
      </c>
      <c r="CS150" s="17">
        <v>0.99999857621857891</v>
      </c>
      <c r="CT150" s="17">
        <v>2132.2399999999998</v>
      </c>
      <c r="CU150" s="17">
        <v>163.26400000000001</v>
      </c>
      <c r="CV150" s="17">
        <v>4.5498499999999997E-2</v>
      </c>
      <c r="CW150" s="17">
        <v>117528</v>
      </c>
      <c r="CX150" s="17">
        <v>164392</v>
      </c>
      <c r="CY150" s="17">
        <v>287.04399999999998</v>
      </c>
      <c r="CZ150" s="17">
        <v>1.3905099999999999</v>
      </c>
      <c r="DA150" s="17">
        <v>1022.09</v>
      </c>
      <c r="DB150" s="17">
        <v>255.24700000000001</v>
      </c>
      <c r="DC150" s="17">
        <v>7335.69</v>
      </c>
      <c r="DD150" s="17">
        <v>1725.49</v>
      </c>
      <c r="DE150" s="17">
        <v>6.7600899999999999</v>
      </c>
      <c r="DF150" s="121">
        <f t="shared" ref="DF150:DF155" si="63">CV150*DD150/(0.00001716*(CU150/273)^1.5*(273+111)/(CU150+111))</f>
        <v>7065422.6330165667</v>
      </c>
      <c r="DG150" s="121">
        <f t="shared" ref="DG150:DG155" si="64">CX150+0.5*DD150^2</f>
        <v>1653049.87005</v>
      </c>
      <c r="DH150" s="4"/>
      <c r="DK150" s="2">
        <v>590</v>
      </c>
      <c r="DL150" s="126">
        <f t="shared" ref="DL150" si="65">DK150+AK150/1000*V150</f>
        <v>1103.5999999999995</v>
      </c>
      <c r="DM150" s="126">
        <f t="shared" ref="DM150" si="66">DL150+AH150/1000*V150</f>
        <v>4703.5999999999985</v>
      </c>
    </row>
    <row r="151" spans="1:117" s="2" customFormat="1">
      <c r="A151" s="1">
        <v>149</v>
      </c>
      <c r="B151" s="2" t="s">
        <v>357</v>
      </c>
      <c r="C151" s="2">
        <v>251030</v>
      </c>
      <c r="D151" s="3" t="s">
        <v>350</v>
      </c>
      <c r="E151" s="2" t="s">
        <v>150</v>
      </c>
      <c r="F151" s="2">
        <v>6.76</v>
      </c>
      <c r="G151" s="2">
        <v>1023.4</v>
      </c>
      <c r="H151" s="2">
        <v>21</v>
      </c>
      <c r="I151" s="2">
        <v>41.9</v>
      </c>
      <c r="J151" s="2" t="s">
        <v>151</v>
      </c>
      <c r="K151" s="2">
        <v>250</v>
      </c>
      <c r="L151" s="54" t="s">
        <v>358</v>
      </c>
      <c r="M151" s="2" t="s">
        <v>153</v>
      </c>
      <c r="N151" s="2" t="s">
        <v>154</v>
      </c>
      <c r="O151" s="2">
        <v>0.2</v>
      </c>
      <c r="P151" s="2">
        <v>22.6</v>
      </c>
      <c r="Q151" s="2">
        <v>1</v>
      </c>
      <c r="R151" s="2">
        <v>2500000</v>
      </c>
      <c r="S151" s="2" t="s">
        <v>155</v>
      </c>
      <c r="T151" s="54" t="s">
        <v>336</v>
      </c>
      <c r="U151" s="2" t="s">
        <v>157</v>
      </c>
      <c r="V151" s="2">
        <v>1500000</v>
      </c>
      <c r="W151" s="2">
        <v>1280</v>
      </c>
      <c r="X151" s="2">
        <v>32</v>
      </c>
      <c r="Y151" s="2" t="s">
        <v>158</v>
      </c>
      <c r="Z151" s="2">
        <v>9.5000000000000001E-2</v>
      </c>
      <c r="AA151" s="2">
        <f t="shared" si="58"/>
        <v>1.2</v>
      </c>
      <c r="AB151">
        <f t="shared" si="59"/>
        <v>22.6</v>
      </c>
      <c r="AC151" s="17">
        <v>121.10051577048399</v>
      </c>
      <c r="AF151" s="17">
        <v>89.084906596806277</v>
      </c>
      <c r="AG151" s="17">
        <v>2.0559483663273039</v>
      </c>
      <c r="AH151" s="17">
        <v>2.15</v>
      </c>
      <c r="AI151" s="17">
        <v>1121.0762331838559</v>
      </c>
      <c r="AJ151" s="17">
        <v>0.81880000000000064</v>
      </c>
      <c r="AK151" s="17">
        <v>0.37800000000000011</v>
      </c>
      <c r="DF151" s="121"/>
      <c r="DG151" s="121"/>
      <c r="DH151" s="4"/>
    </row>
    <row r="152" spans="1:117" s="2" customFormat="1">
      <c r="A152" s="1">
        <v>150</v>
      </c>
      <c r="B152" s="2" t="s">
        <v>359</v>
      </c>
      <c r="C152" s="2">
        <v>260113</v>
      </c>
      <c r="D152" s="2" t="s">
        <v>360</v>
      </c>
      <c r="E152" s="2" t="s">
        <v>361</v>
      </c>
      <c r="F152" s="2">
        <v>6.76</v>
      </c>
      <c r="G152" s="2">
        <v>1020.8</v>
      </c>
      <c r="H152" s="2">
        <v>16.100000000000001</v>
      </c>
      <c r="I152" s="2">
        <v>17.600000000000001</v>
      </c>
      <c r="J152" s="2" t="s">
        <v>362</v>
      </c>
      <c r="K152" s="2">
        <v>211</v>
      </c>
      <c r="L152" s="54" t="s">
        <v>368</v>
      </c>
      <c r="M152" s="2" t="s">
        <v>363</v>
      </c>
      <c r="N152" s="2" t="s">
        <v>364</v>
      </c>
      <c r="O152" s="2">
        <v>0.2</v>
      </c>
      <c r="P152" s="2">
        <v>18.7</v>
      </c>
      <c r="Q152" s="2">
        <v>1</v>
      </c>
      <c r="R152" s="2">
        <v>2500000</v>
      </c>
      <c r="S152" s="2" t="s">
        <v>366</v>
      </c>
      <c r="T152" s="2" t="s">
        <v>367</v>
      </c>
      <c r="U152" s="2" t="s">
        <v>365</v>
      </c>
      <c r="V152" s="2">
        <v>65000</v>
      </c>
      <c r="W152" s="2">
        <v>1024</v>
      </c>
      <c r="X152" s="2">
        <v>800</v>
      </c>
      <c r="Y152" s="2">
        <v>135</v>
      </c>
      <c r="Z152" s="2">
        <v>0.5</v>
      </c>
      <c r="AA152" s="2">
        <f t="shared" si="58"/>
        <v>1.2</v>
      </c>
      <c r="AB152" s="87">
        <f t="shared" si="59"/>
        <v>18.7</v>
      </c>
      <c r="AC152" s="17">
        <v>122.2413645650314</v>
      </c>
      <c r="AD152" s="17"/>
      <c r="AE152" s="17"/>
      <c r="AF152" s="17">
        <v>89.264606477977836</v>
      </c>
      <c r="AG152" s="17">
        <v>1.813399252265806</v>
      </c>
      <c r="AH152" s="17">
        <v>2.2000000000000002</v>
      </c>
      <c r="AI152" s="17">
        <v>1112.099644128115</v>
      </c>
      <c r="AJ152" s="17">
        <v>1.1435999999999999</v>
      </c>
      <c r="AK152" s="17">
        <v>0.49239999999999989</v>
      </c>
      <c r="AL152" s="17">
        <v>120000</v>
      </c>
      <c r="AM152" s="17">
        <v>291.85000000000002</v>
      </c>
      <c r="AN152" s="17">
        <v>1.4323699999999999</v>
      </c>
      <c r="AO152" s="17">
        <v>210092</v>
      </c>
      <c r="AP152" s="17">
        <v>293869</v>
      </c>
      <c r="AQ152" s="17">
        <v>287.05500000000001</v>
      </c>
      <c r="AR152" s="17">
        <v>1.39053</v>
      </c>
      <c r="AS152" s="17">
        <v>1022.1</v>
      </c>
      <c r="AT152" s="17">
        <v>341.26600000000002</v>
      </c>
      <c r="AU152" s="17">
        <v>6779.51</v>
      </c>
      <c r="AV152" s="17">
        <v>0</v>
      </c>
      <c r="AW152" s="17">
        <v>0</v>
      </c>
      <c r="AX152" s="17">
        <v>1471220</v>
      </c>
      <c r="AY152" s="17">
        <v>848.93</v>
      </c>
      <c r="AZ152" s="17">
        <v>6.0373900000000003</v>
      </c>
      <c r="BA152" s="17">
        <v>633760</v>
      </c>
      <c r="BB152" s="17">
        <v>877444</v>
      </c>
      <c r="BC152" s="17">
        <v>287.04899999999998</v>
      </c>
      <c r="BD152" s="17">
        <v>1.34903</v>
      </c>
      <c r="BE152" s="17">
        <v>1109.46</v>
      </c>
      <c r="BF152" s="17">
        <v>573.33299999999997</v>
      </c>
      <c r="BG152" s="17">
        <v>7180.39</v>
      </c>
      <c r="BH152" s="17">
        <v>263.846</v>
      </c>
      <c r="BI152" s="17">
        <v>0.46019677918417401</v>
      </c>
      <c r="BJ152" s="17">
        <v>7850610</v>
      </c>
      <c r="BK152" s="17">
        <v>1445.48</v>
      </c>
      <c r="BL152" s="17">
        <v>18.921099999999999</v>
      </c>
      <c r="BM152" s="17">
        <v>1159430</v>
      </c>
      <c r="BN152" s="17">
        <v>1574350</v>
      </c>
      <c r="BO152" s="17">
        <v>287.04199999999997</v>
      </c>
      <c r="BP152" s="17">
        <v>1.3126899999999999</v>
      </c>
      <c r="BQ152" s="17">
        <v>1205.03</v>
      </c>
      <c r="BR152" s="17">
        <v>736.48900000000003</v>
      </c>
      <c r="BS152" s="17">
        <v>7319</v>
      </c>
      <c r="BT152" s="17">
        <v>0</v>
      </c>
      <c r="BU152" s="17">
        <v>0</v>
      </c>
      <c r="BV152" s="17">
        <v>8926460</v>
      </c>
      <c r="BW152" s="17">
        <v>1489.67</v>
      </c>
      <c r="BX152" s="17">
        <v>20.876200000000001</v>
      </c>
      <c r="BY152" s="17">
        <v>1200860</v>
      </c>
      <c r="BZ152" s="17">
        <v>1628450</v>
      </c>
      <c r="CA152" s="17">
        <v>287.03699999999998</v>
      </c>
      <c r="CB152" s="17">
        <v>1.31111</v>
      </c>
      <c r="CC152" s="17">
        <v>1209.6600000000001</v>
      </c>
      <c r="CD152" s="17">
        <v>746.96900000000005</v>
      </c>
      <c r="CE152" s="17">
        <v>7319</v>
      </c>
      <c r="CF152" s="17">
        <v>0</v>
      </c>
      <c r="CG152" s="17">
        <v>0</v>
      </c>
      <c r="CH152" s="17">
        <v>4842900</v>
      </c>
      <c r="CI152" s="17">
        <v>1288.6600000000001</v>
      </c>
      <c r="CJ152" s="17">
        <v>13.0921</v>
      </c>
      <c r="CK152" s="17">
        <v>1015080</v>
      </c>
      <c r="CL152" s="17">
        <v>1384990</v>
      </c>
      <c r="CM152" s="17">
        <v>287.048</v>
      </c>
      <c r="CN152" s="17">
        <v>1.3191200000000001</v>
      </c>
      <c r="CO152" s="17">
        <v>1186.54</v>
      </c>
      <c r="CP152" s="17">
        <v>697.79899999999998</v>
      </c>
      <c r="CQ152" s="17">
        <v>7319</v>
      </c>
      <c r="CR152" s="17">
        <v>697.798</v>
      </c>
      <c r="CS152" s="17">
        <v>0.99999856692256661</v>
      </c>
      <c r="CT152" s="17">
        <v>2140.4299999999998</v>
      </c>
      <c r="CU152" s="17">
        <v>160.82300000000001</v>
      </c>
      <c r="CV152" s="17">
        <v>4.6366400000000002E-2</v>
      </c>
      <c r="CW152" s="17">
        <v>115771</v>
      </c>
      <c r="CX152" s="17">
        <v>161934</v>
      </c>
      <c r="CY152" s="17">
        <v>287.04500000000002</v>
      </c>
      <c r="CZ152" s="17">
        <v>1.3905099999999999</v>
      </c>
      <c r="DA152" s="17">
        <v>1022.09</v>
      </c>
      <c r="DB152" s="17">
        <v>253.33199999999999</v>
      </c>
      <c r="DC152" s="17">
        <v>7319</v>
      </c>
      <c r="DD152" s="17">
        <v>1712.61</v>
      </c>
      <c r="DE152" s="17">
        <v>6.7603600000000004</v>
      </c>
      <c r="DF152" s="121">
        <f t="shared" si="60"/>
        <v>7244714.5466850996</v>
      </c>
      <c r="DG152" s="121">
        <f t="shared" si="61"/>
        <v>1628450.5060499997</v>
      </c>
      <c r="DH152" s="4"/>
    </row>
    <row r="153" spans="1:117" s="2" customFormat="1">
      <c r="A153" s="1">
        <v>151</v>
      </c>
      <c r="B153" s="2" t="s">
        <v>369</v>
      </c>
      <c r="C153" s="2">
        <v>260122</v>
      </c>
      <c r="D153" s="2" t="s">
        <v>370</v>
      </c>
      <c r="E153" s="2" t="s">
        <v>371</v>
      </c>
      <c r="F153" s="2">
        <v>6.76</v>
      </c>
      <c r="G153" s="2">
        <v>1026.9000000000001</v>
      </c>
      <c r="H153" s="2">
        <v>14.7</v>
      </c>
      <c r="I153" s="2">
        <v>16.399999999999999</v>
      </c>
      <c r="J153" s="2" t="s">
        <v>374</v>
      </c>
      <c r="K153" s="2">
        <v>180</v>
      </c>
      <c r="L153" s="2" t="s">
        <v>372</v>
      </c>
      <c r="M153" s="2" t="s">
        <v>363</v>
      </c>
      <c r="N153" s="2" t="s">
        <v>373</v>
      </c>
      <c r="O153" s="2">
        <v>0.13</v>
      </c>
      <c r="P153" s="2">
        <v>17.3</v>
      </c>
      <c r="Q153" s="2">
        <v>1</v>
      </c>
      <c r="R153" s="2">
        <v>2500000</v>
      </c>
      <c r="AA153" s="2">
        <f t="shared" si="58"/>
        <v>1.1299999999999999</v>
      </c>
      <c r="AB153" s="87">
        <f t="shared" si="59"/>
        <v>17.3</v>
      </c>
      <c r="AC153" s="17">
        <v>31.455641168621732</v>
      </c>
      <c r="AD153" s="17"/>
      <c r="AE153" s="17"/>
      <c r="AF153" s="17">
        <v>22.02952653379235</v>
      </c>
      <c r="AG153" s="17">
        <v>0.59201689887944597</v>
      </c>
      <c r="AH153" s="17">
        <v>4.7</v>
      </c>
      <c r="AI153" s="17">
        <v>660.32752245113466</v>
      </c>
      <c r="AJ153" s="17">
        <v>2.912399999999999</v>
      </c>
      <c r="AK153" s="17">
        <v>0.36880000000000018</v>
      </c>
      <c r="AL153" s="17">
        <v>113000</v>
      </c>
      <c r="AM153" s="17">
        <v>290.45</v>
      </c>
      <c r="AN153" s="17">
        <v>1.3553200000000001</v>
      </c>
      <c r="AO153" s="17">
        <v>209084</v>
      </c>
      <c r="AP153" s="17">
        <v>292460</v>
      </c>
      <c r="AQ153" s="17">
        <v>287.05599999999998</v>
      </c>
      <c r="AR153" s="17">
        <v>1.39053</v>
      </c>
      <c r="AS153" s="17">
        <v>1022.1</v>
      </c>
      <c r="AT153" s="17">
        <v>340.447</v>
      </c>
      <c r="AU153" s="17">
        <v>6791.72</v>
      </c>
      <c r="AV153" s="17">
        <v>0</v>
      </c>
      <c r="AW153" s="17">
        <v>0</v>
      </c>
      <c r="AX153" s="17">
        <v>474089</v>
      </c>
      <c r="AY153" s="17">
        <v>474.00200000000001</v>
      </c>
      <c r="AZ153" s="17">
        <v>3.48428</v>
      </c>
      <c r="BA153" s="17">
        <v>341423</v>
      </c>
      <c r="BB153" s="17">
        <v>477489</v>
      </c>
      <c r="BC153" s="17">
        <v>287.05700000000002</v>
      </c>
      <c r="BD153" s="17">
        <v>1.3896299999999999</v>
      </c>
      <c r="BE153" s="17">
        <v>1023.79</v>
      </c>
      <c r="BF153" s="17">
        <v>434.786</v>
      </c>
      <c r="BG153" s="17">
        <v>6886.72</v>
      </c>
      <c r="BH153" s="17">
        <v>256.85500000000002</v>
      </c>
      <c r="BI153" s="17">
        <v>0.59076189205724194</v>
      </c>
      <c r="BJ153" s="17">
        <v>1506610</v>
      </c>
      <c r="BK153" s="17">
        <v>679.21799999999996</v>
      </c>
      <c r="BL153" s="17">
        <v>7.7273399999999999</v>
      </c>
      <c r="BM153" s="17">
        <v>497496</v>
      </c>
      <c r="BN153" s="17">
        <v>692468</v>
      </c>
      <c r="BO153" s="17">
        <v>287.053</v>
      </c>
      <c r="BP153" s="17">
        <v>1.3667400000000001</v>
      </c>
      <c r="BQ153" s="17">
        <v>1069.76</v>
      </c>
      <c r="BR153" s="17">
        <v>516.25400000000002</v>
      </c>
      <c r="BS153" s="17">
        <v>6930.57</v>
      </c>
      <c r="BT153" s="17">
        <v>0</v>
      </c>
      <c r="BU153" s="17">
        <v>0</v>
      </c>
      <c r="BV153" s="17">
        <v>2202950</v>
      </c>
      <c r="BW153" s="17">
        <v>751.49900000000002</v>
      </c>
      <c r="BX153" s="17">
        <v>10.212199999999999</v>
      </c>
      <c r="BY153" s="17">
        <v>554840</v>
      </c>
      <c r="BZ153" s="17">
        <v>770558</v>
      </c>
      <c r="CA153" s="17">
        <v>287.05099999999999</v>
      </c>
      <c r="CB153" s="17">
        <v>1.3589</v>
      </c>
      <c r="CC153" s="17">
        <v>1086.8599999999999</v>
      </c>
      <c r="CD153" s="17">
        <v>541.46600000000001</v>
      </c>
      <c r="CE153" s="17">
        <v>6930.57</v>
      </c>
      <c r="CF153" s="17">
        <v>0</v>
      </c>
      <c r="CG153" s="17">
        <v>0</v>
      </c>
      <c r="CH153" s="17">
        <v>1173910</v>
      </c>
      <c r="CI153" s="17">
        <v>634.97799999999995</v>
      </c>
      <c r="CJ153" s="17">
        <v>6.4403899999999998</v>
      </c>
      <c r="CK153" s="17">
        <v>463264</v>
      </c>
      <c r="CL153" s="17">
        <v>645537</v>
      </c>
      <c r="CM153" s="17">
        <v>287.05399999999997</v>
      </c>
      <c r="CN153" s="17">
        <v>1.37155</v>
      </c>
      <c r="CO153" s="17">
        <v>1059.6500000000001</v>
      </c>
      <c r="CP153" s="17">
        <v>500.04399999999998</v>
      </c>
      <c r="CQ153" s="17">
        <v>6930.57</v>
      </c>
      <c r="CR153" s="17">
        <v>500.04300000000001</v>
      </c>
      <c r="CS153" s="17">
        <v>0.99999800017598461</v>
      </c>
      <c r="CT153" s="17">
        <v>558.928</v>
      </c>
      <c r="CU153" s="17">
        <v>76.1053</v>
      </c>
      <c r="CV153" s="17">
        <v>2.5585E-2</v>
      </c>
      <c r="CW153" s="17">
        <v>54785.4</v>
      </c>
      <c r="CX153" s="17">
        <v>76631.3</v>
      </c>
      <c r="CY153" s="17">
        <v>287.048</v>
      </c>
      <c r="CZ153" s="17">
        <v>1.39052</v>
      </c>
      <c r="DA153" s="17">
        <v>1022.09</v>
      </c>
      <c r="DB153" s="17">
        <v>174.27</v>
      </c>
      <c r="DC153" s="17">
        <v>6930.57</v>
      </c>
      <c r="DD153" s="17">
        <v>1178.07</v>
      </c>
      <c r="DE153" s="17">
        <v>6.7600499999999997</v>
      </c>
      <c r="DF153" s="121">
        <f t="shared" ref="DF153:DF159" si="67">CV153*DD153/(0.00001716*(CU153/273)^1.5*(273+111)/(CU153+111))</f>
        <v>5814544.7448294479</v>
      </c>
      <c r="DG153" s="121">
        <f t="shared" ref="DG153:DG159" si="68">CX153+0.5*DD153^2</f>
        <v>770555.76244999992</v>
      </c>
      <c r="DH153" s="4"/>
    </row>
    <row r="154" spans="1:117" s="2" customFormat="1">
      <c r="A154" s="1">
        <v>152</v>
      </c>
      <c r="B154" s="2" t="s">
        <v>369</v>
      </c>
      <c r="C154" s="2">
        <v>260122</v>
      </c>
      <c r="D154" s="2" t="s">
        <v>370</v>
      </c>
      <c r="E154" s="2" t="s">
        <v>371</v>
      </c>
      <c r="F154" s="2">
        <v>6.76</v>
      </c>
      <c r="G154" s="2">
        <v>1026.5</v>
      </c>
      <c r="H154" s="2">
        <v>15.3</v>
      </c>
      <c r="I154" s="2">
        <v>15.9</v>
      </c>
      <c r="J154" s="2" t="s">
        <v>375</v>
      </c>
      <c r="K154" s="2">
        <v>174</v>
      </c>
      <c r="L154" s="2" t="s">
        <v>376</v>
      </c>
      <c r="M154" s="2" t="s">
        <v>363</v>
      </c>
      <c r="N154" s="2" t="s">
        <v>373</v>
      </c>
      <c r="O154" s="2">
        <v>0.74299999999999999</v>
      </c>
      <c r="P154" s="2">
        <v>17.3</v>
      </c>
      <c r="Q154" s="2">
        <v>1</v>
      </c>
      <c r="R154" s="2">
        <v>2500000</v>
      </c>
      <c r="AA154" s="2">
        <f t="shared" si="58"/>
        <v>1.7429999999999999</v>
      </c>
      <c r="AB154">
        <f t="shared" si="59"/>
        <v>17.3</v>
      </c>
      <c r="AC154" s="17">
        <v>49.05895584778316</v>
      </c>
      <c r="AD154" s="17"/>
      <c r="AE154" s="17"/>
      <c r="AF154" s="17">
        <v>34.570710947291531</v>
      </c>
      <c r="AG154" s="17">
        <v>0.78185541975960693</v>
      </c>
      <c r="AH154" s="17">
        <v>4.9000000000000004</v>
      </c>
      <c r="AI154" s="17">
        <v>721.7090069284061</v>
      </c>
      <c r="AJ154" s="17">
        <v>2.573599999999999</v>
      </c>
      <c r="AK154" s="17">
        <v>0.36999999999999922</v>
      </c>
      <c r="AL154" s="17">
        <v>174300</v>
      </c>
      <c r="AM154" s="17">
        <v>290.45</v>
      </c>
      <c r="AN154" s="17">
        <v>2.0905800000000001</v>
      </c>
      <c r="AO154" s="17">
        <v>209084</v>
      </c>
      <c r="AP154" s="17">
        <v>292458</v>
      </c>
      <c r="AQ154" s="17">
        <v>287.05099999999999</v>
      </c>
      <c r="AR154" s="17">
        <v>1.39052</v>
      </c>
      <c r="AS154" s="17">
        <v>1022.1</v>
      </c>
      <c r="AT154" s="17">
        <v>340.447</v>
      </c>
      <c r="AU154" s="17">
        <v>6667.47</v>
      </c>
      <c r="AV154" s="17">
        <v>0</v>
      </c>
      <c r="AW154" s="17">
        <v>0</v>
      </c>
      <c r="AX154" s="17">
        <v>880467</v>
      </c>
      <c r="AY154" s="17">
        <v>515.69399999999996</v>
      </c>
      <c r="AZ154" s="17">
        <v>5.9477500000000001</v>
      </c>
      <c r="BA154" s="17">
        <v>372681</v>
      </c>
      <c r="BB154" s="17">
        <v>520715</v>
      </c>
      <c r="BC154" s="17">
        <v>287.05700000000002</v>
      </c>
      <c r="BD154" s="17">
        <v>1.38483</v>
      </c>
      <c r="BE154" s="17">
        <v>1032.99</v>
      </c>
      <c r="BF154" s="17">
        <v>452.77</v>
      </c>
      <c r="BG154" s="17">
        <v>6795.69</v>
      </c>
      <c r="BH154" s="17">
        <v>253.67400000000001</v>
      </c>
      <c r="BI154" s="17">
        <v>0.56027121938290969</v>
      </c>
      <c r="BJ154" s="17">
        <v>3122630</v>
      </c>
      <c r="BK154" s="17">
        <v>767.83399999999995</v>
      </c>
      <c r="BL154" s="17">
        <v>14.1676</v>
      </c>
      <c r="BM154" s="17">
        <v>567926</v>
      </c>
      <c r="BN154" s="17">
        <v>788333</v>
      </c>
      <c r="BO154" s="17">
        <v>287.05</v>
      </c>
      <c r="BP154" s="17">
        <v>1.3571500000000001</v>
      </c>
      <c r="BQ154" s="17">
        <v>1090.77</v>
      </c>
      <c r="BR154" s="17">
        <v>546.95699999999999</v>
      </c>
      <c r="BS154" s="17">
        <v>6853.82</v>
      </c>
      <c r="BT154" s="17">
        <v>0</v>
      </c>
      <c r="BU154" s="17">
        <v>0</v>
      </c>
      <c r="BV154" s="17">
        <v>3457070</v>
      </c>
      <c r="BW154" s="17">
        <v>788.61</v>
      </c>
      <c r="BX154" s="17">
        <v>15.271699999999999</v>
      </c>
      <c r="BY154" s="17">
        <v>584639</v>
      </c>
      <c r="BZ154" s="17">
        <v>811010</v>
      </c>
      <c r="CA154" s="17">
        <v>287.05</v>
      </c>
      <c r="CB154" s="17">
        <v>1.3549500000000001</v>
      </c>
      <c r="CC154" s="17">
        <v>1095.75</v>
      </c>
      <c r="CD154" s="17">
        <v>553.83900000000006</v>
      </c>
      <c r="CE154" s="17">
        <v>6853.82</v>
      </c>
      <c r="CF154" s="17">
        <v>0</v>
      </c>
      <c r="CG154" s="17">
        <v>0</v>
      </c>
      <c r="CH154" s="17">
        <v>1845540</v>
      </c>
      <c r="CI154" s="17">
        <v>667.52800000000002</v>
      </c>
      <c r="CJ154" s="17">
        <v>9.6313800000000001</v>
      </c>
      <c r="CK154" s="17">
        <v>488307</v>
      </c>
      <c r="CL154" s="17">
        <v>679924</v>
      </c>
      <c r="CM154" s="17">
        <v>287.05500000000001</v>
      </c>
      <c r="CN154" s="17">
        <v>1.3680300000000001</v>
      </c>
      <c r="CO154" s="17">
        <v>1067.02</v>
      </c>
      <c r="CP154" s="17">
        <v>512.02800000000002</v>
      </c>
      <c r="CQ154" s="17">
        <v>6853.82</v>
      </c>
      <c r="CR154" s="17">
        <v>512.02800000000002</v>
      </c>
      <c r="CS154" s="17">
        <v>1</v>
      </c>
      <c r="CT154" s="17">
        <v>881.71100000000001</v>
      </c>
      <c r="CU154" s="17">
        <v>80.1113</v>
      </c>
      <c r="CV154" s="17">
        <v>3.8344299999999998E-2</v>
      </c>
      <c r="CW154" s="17">
        <v>57669.1</v>
      </c>
      <c r="CX154" s="17">
        <v>80663.7</v>
      </c>
      <c r="CY154" s="17">
        <v>287.03300000000002</v>
      </c>
      <c r="CZ154" s="17">
        <v>1.3905000000000001</v>
      </c>
      <c r="DA154" s="17">
        <v>1022.08</v>
      </c>
      <c r="DB154" s="17">
        <v>178.798</v>
      </c>
      <c r="DC154" s="17">
        <v>6853.82</v>
      </c>
      <c r="DD154" s="17">
        <v>1208.5899999999999</v>
      </c>
      <c r="DE154" s="17">
        <v>6.7595499999999999</v>
      </c>
      <c r="DF154" s="121">
        <f t="shared" si="67"/>
        <v>8455143.2674720865</v>
      </c>
      <c r="DG154" s="121">
        <f t="shared" si="68"/>
        <v>811008.59404999984</v>
      </c>
      <c r="DH154" s="64"/>
    </row>
    <row r="155" spans="1:117" s="2" customFormat="1">
      <c r="A155" s="1">
        <v>153</v>
      </c>
      <c r="B155" s="2" t="s">
        <v>369</v>
      </c>
      <c r="C155" s="2">
        <v>260122</v>
      </c>
      <c r="D155" s="2" t="s">
        <v>370</v>
      </c>
      <c r="E155" s="2" t="s">
        <v>371</v>
      </c>
      <c r="F155" s="2">
        <v>6.76</v>
      </c>
      <c r="G155" s="2">
        <v>1026.5</v>
      </c>
      <c r="H155" s="2">
        <v>14.7</v>
      </c>
      <c r="I155" s="2">
        <v>16.3</v>
      </c>
      <c r="J155" s="2" t="s">
        <v>377</v>
      </c>
      <c r="L155" s="2" t="s">
        <v>378</v>
      </c>
      <c r="M155" s="2" t="s">
        <v>363</v>
      </c>
      <c r="N155" s="2" t="s">
        <v>373</v>
      </c>
      <c r="O155" s="2">
        <v>1.8049999999999999</v>
      </c>
      <c r="P155" s="2">
        <v>17.3</v>
      </c>
      <c r="R155" s="2">
        <v>2500000</v>
      </c>
      <c r="AA155" s="2">
        <f t="shared" si="58"/>
        <v>2.8049999999999997</v>
      </c>
      <c r="AB155">
        <f t="shared" si="59"/>
        <v>17.3</v>
      </c>
      <c r="AC155" s="17">
        <v>81.768004307729839</v>
      </c>
      <c r="AD155" s="17"/>
      <c r="AE155" s="17"/>
      <c r="AF155" s="17">
        <v>56.552382849753897</v>
      </c>
      <c r="AG155" s="17">
        <v>2.1689024879730701</v>
      </c>
      <c r="AH155" s="17">
        <v>5</v>
      </c>
      <c r="AI155" s="17">
        <v>717.15433161216265</v>
      </c>
      <c r="AJ155" s="17">
        <v>39.230800000000002</v>
      </c>
      <c r="AK155" s="17">
        <v>0.65199999999999925</v>
      </c>
      <c r="AL155" s="17">
        <v>280500</v>
      </c>
      <c r="AM155" s="17">
        <v>290.45</v>
      </c>
      <c r="AN155" s="17">
        <v>3.3643000000000001</v>
      </c>
      <c r="AO155" s="17">
        <v>209084</v>
      </c>
      <c r="AP155" s="17">
        <v>292460</v>
      </c>
      <c r="AQ155" s="17">
        <v>287.05599999999998</v>
      </c>
      <c r="AR155" s="17">
        <v>1.39053</v>
      </c>
      <c r="AS155" s="17">
        <v>1022.1</v>
      </c>
      <c r="AT155" s="17">
        <v>340.447</v>
      </c>
      <c r="AU155" s="17">
        <v>6530.99</v>
      </c>
      <c r="AV155" s="17">
        <v>0</v>
      </c>
      <c r="AW155" s="17">
        <v>0</v>
      </c>
      <c r="AX155" s="17">
        <v>1398370</v>
      </c>
      <c r="AY155" s="17">
        <v>512.505</v>
      </c>
      <c r="AZ155" s="17">
        <v>9.5052000000000003</v>
      </c>
      <c r="BA155" s="17">
        <v>370283</v>
      </c>
      <c r="BB155" s="17">
        <v>517399</v>
      </c>
      <c r="BC155" s="17">
        <v>287.053</v>
      </c>
      <c r="BD155" s="17">
        <v>1.3851899999999999</v>
      </c>
      <c r="BE155" s="17">
        <v>1032.28</v>
      </c>
      <c r="BF155" s="17">
        <v>451.42399999999998</v>
      </c>
      <c r="BG155" s="17">
        <v>6656.49</v>
      </c>
      <c r="BH155" s="17">
        <v>253.83199999999999</v>
      </c>
      <c r="BI155" s="17">
        <v>0.56229177004324093</v>
      </c>
      <c r="BJ155" s="17">
        <v>4922050</v>
      </c>
      <c r="BK155" s="17">
        <v>761.05700000000002</v>
      </c>
      <c r="BL155" s="17">
        <v>22.5305</v>
      </c>
      <c r="BM155" s="17">
        <v>562492</v>
      </c>
      <c r="BN155" s="17">
        <v>780953</v>
      </c>
      <c r="BO155" s="17">
        <v>287.05</v>
      </c>
      <c r="BP155" s="17">
        <v>1.35788</v>
      </c>
      <c r="BQ155" s="17">
        <v>1089.1500000000001</v>
      </c>
      <c r="BR155" s="17">
        <v>544.68700000000001</v>
      </c>
      <c r="BS155" s="17">
        <v>6713.57</v>
      </c>
      <c r="BT155" s="17">
        <v>0</v>
      </c>
      <c r="BU155" s="17">
        <v>0</v>
      </c>
      <c r="BV155" s="17">
        <v>5655240</v>
      </c>
      <c r="BW155" s="17">
        <v>789.31899999999996</v>
      </c>
      <c r="BX155" s="17">
        <v>24.959800000000001</v>
      </c>
      <c r="BY155" s="17">
        <v>585211</v>
      </c>
      <c r="BZ155" s="17">
        <v>811785</v>
      </c>
      <c r="CA155" s="17">
        <v>287.05</v>
      </c>
      <c r="CB155" s="17">
        <v>1.3548800000000001</v>
      </c>
      <c r="CC155" s="17">
        <v>1095.92</v>
      </c>
      <c r="CD155" s="17">
        <v>554.072</v>
      </c>
      <c r="CE155" s="17">
        <v>6713.57</v>
      </c>
      <c r="CF155" s="17">
        <v>0</v>
      </c>
      <c r="CG155" s="17">
        <v>0</v>
      </c>
      <c r="CH155" s="17">
        <v>3018220</v>
      </c>
      <c r="CI155" s="17">
        <v>668.14599999999996</v>
      </c>
      <c r="CJ155" s="17">
        <v>15.7371</v>
      </c>
      <c r="CK155" s="17">
        <v>488792</v>
      </c>
      <c r="CL155" s="17">
        <v>680583</v>
      </c>
      <c r="CM155" s="17">
        <v>287.04899999999998</v>
      </c>
      <c r="CN155" s="17">
        <v>1.3679600000000001</v>
      </c>
      <c r="CO155" s="17">
        <v>1067.1600000000001</v>
      </c>
      <c r="CP155" s="17">
        <v>512.25400000000002</v>
      </c>
      <c r="CQ155" s="17">
        <v>6713.58</v>
      </c>
      <c r="CR155" s="17">
        <v>512.25300000000004</v>
      </c>
      <c r="CS155" s="17">
        <v>0.9999980478434527</v>
      </c>
      <c r="CT155" s="17">
        <v>1436.15</v>
      </c>
      <c r="CU155" s="17">
        <v>80.182000000000002</v>
      </c>
      <c r="CV155" s="17">
        <v>6.2396199999999999E-2</v>
      </c>
      <c r="CW155" s="17">
        <v>57720.1</v>
      </c>
      <c r="CX155" s="17">
        <v>80736.800000000003</v>
      </c>
      <c r="CY155" s="17">
        <v>287.05500000000001</v>
      </c>
      <c r="CZ155" s="17">
        <v>1.39053</v>
      </c>
      <c r="DA155" s="17">
        <v>1022.1</v>
      </c>
      <c r="DB155" s="17">
        <v>178.87700000000001</v>
      </c>
      <c r="DC155" s="17">
        <v>6713.58</v>
      </c>
      <c r="DD155" s="17">
        <v>1209.17</v>
      </c>
      <c r="DE155" s="17">
        <v>6.7598000000000003</v>
      </c>
      <c r="DF155" s="121">
        <f t="shared" si="63"/>
        <v>13752214.611470232</v>
      </c>
      <c r="DG155" s="121">
        <f t="shared" si="64"/>
        <v>811782.84445000009</v>
      </c>
      <c r="DH155" s="64"/>
    </row>
    <row r="156" spans="1:117" s="2" customFormat="1">
      <c r="A156" s="1">
        <v>154</v>
      </c>
      <c r="B156" s="2" t="s">
        <v>379</v>
      </c>
      <c r="C156" s="2">
        <v>260123</v>
      </c>
      <c r="D156" s="2" t="s">
        <v>370</v>
      </c>
      <c r="E156" s="2" t="s">
        <v>371</v>
      </c>
      <c r="F156" s="2">
        <v>6.76</v>
      </c>
      <c r="G156" s="2">
        <v>1025.5</v>
      </c>
      <c r="H156" s="2">
        <v>14.7</v>
      </c>
      <c r="I156" s="2">
        <v>15.3</v>
      </c>
      <c r="J156" s="2" t="s">
        <v>374</v>
      </c>
      <c r="L156" s="2" t="s">
        <v>372</v>
      </c>
      <c r="M156" s="2" t="s">
        <v>363</v>
      </c>
      <c r="N156" s="2" t="s">
        <v>364</v>
      </c>
      <c r="O156" s="2">
        <v>0.13</v>
      </c>
      <c r="P156" s="2">
        <v>17.3</v>
      </c>
      <c r="Q156" s="2">
        <v>1</v>
      </c>
      <c r="R156" s="2">
        <v>2500000</v>
      </c>
      <c r="AA156" s="2">
        <f t="shared" si="58"/>
        <v>1.1299999999999999</v>
      </c>
      <c r="AB156">
        <f t="shared" si="59"/>
        <v>17.3</v>
      </c>
      <c r="AC156" s="17">
        <v>32.57495320219563</v>
      </c>
      <c r="AD156" s="17"/>
      <c r="AE156" s="17"/>
      <c r="AF156" s="17">
        <v>23.367965552099271</v>
      </c>
      <c r="AG156" s="17">
        <v>0.75276652002555977</v>
      </c>
      <c r="AH156" s="17">
        <v>4.5</v>
      </c>
      <c r="AI156" s="17">
        <v>664.1870350690757</v>
      </c>
      <c r="AJ156" s="17">
        <v>4.0631999999999993</v>
      </c>
      <c r="AK156" s="17">
        <v>0.70239999999999903</v>
      </c>
      <c r="AL156" s="17">
        <v>113000</v>
      </c>
      <c r="AM156" s="17">
        <v>290.45</v>
      </c>
      <c r="AN156" s="17">
        <v>1.3553200000000001</v>
      </c>
      <c r="AO156" s="17">
        <v>209084</v>
      </c>
      <c r="AP156" s="17">
        <v>292460</v>
      </c>
      <c r="AQ156" s="17">
        <v>287.05599999999998</v>
      </c>
      <c r="AR156" s="17">
        <v>1.39053</v>
      </c>
      <c r="AS156" s="17">
        <v>1022.1</v>
      </c>
      <c r="AT156" s="17">
        <v>340.447</v>
      </c>
      <c r="AU156" s="17">
        <v>6791.72</v>
      </c>
      <c r="AV156" s="17">
        <v>0</v>
      </c>
      <c r="AW156" s="17">
        <v>0</v>
      </c>
      <c r="AX156" s="17">
        <v>479916</v>
      </c>
      <c r="AY156" s="17">
        <v>476.53899999999999</v>
      </c>
      <c r="AZ156" s="17">
        <v>3.5083199999999999</v>
      </c>
      <c r="BA156" s="17">
        <v>343320</v>
      </c>
      <c r="BB156" s="17">
        <v>480114</v>
      </c>
      <c r="BC156" s="17">
        <v>287.05700000000002</v>
      </c>
      <c r="BD156" s="17">
        <v>1.38934</v>
      </c>
      <c r="BE156" s="17">
        <v>1024.3499999999999</v>
      </c>
      <c r="BF156" s="17">
        <v>435.90499999999997</v>
      </c>
      <c r="BG156" s="17">
        <v>6888.69</v>
      </c>
      <c r="BH156" s="17">
        <v>256.58499999999998</v>
      </c>
      <c r="BI156" s="17">
        <v>0.58862596207889328</v>
      </c>
      <c r="BJ156" s="17">
        <v>1536710</v>
      </c>
      <c r="BK156" s="17">
        <v>684.649</v>
      </c>
      <c r="BL156" s="17">
        <v>7.8191899999999999</v>
      </c>
      <c r="BM156" s="17">
        <v>501773</v>
      </c>
      <c r="BN156" s="17">
        <v>698304</v>
      </c>
      <c r="BO156" s="17">
        <v>287.053</v>
      </c>
      <c r="BP156" s="17">
        <v>1.36615</v>
      </c>
      <c r="BQ156" s="17">
        <v>1071.04</v>
      </c>
      <c r="BR156" s="17">
        <v>518.20299999999997</v>
      </c>
      <c r="BS156" s="17">
        <v>6933.41</v>
      </c>
      <c r="BT156" s="17">
        <v>0</v>
      </c>
      <c r="BU156" s="17">
        <v>0</v>
      </c>
      <c r="BV156" s="17">
        <v>2336800</v>
      </c>
      <c r="BW156" s="17">
        <v>765.26</v>
      </c>
      <c r="BX156" s="17">
        <v>10.6378</v>
      </c>
      <c r="BY156" s="17">
        <v>565861</v>
      </c>
      <c r="BZ156" s="17">
        <v>785530</v>
      </c>
      <c r="CA156" s="17">
        <v>287.05099999999999</v>
      </c>
      <c r="CB156" s="17">
        <v>1.3574299999999999</v>
      </c>
      <c r="CC156" s="17">
        <v>1090.1500000000001</v>
      </c>
      <c r="CD156" s="17">
        <v>546.09699999999998</v>
      </c>
      <c r="CE156" s="17">
        <v>6933.41</v>
      </c>
      <c r="CF156" s="17">
        <v>0</v>
      </c>
      <c r="CG156" s="17">
        <v>0</v>
      </c>
      <c r="CH156" s="17">
        <v>1245990</v>
      </c>
      <c r="CI156" s="17">
        <v>647.04200000000003</v>
      </c>
      <c r="CJ156" s="17">
        <v>6.7084299999999999</v>
      </c>
      <c r="CK156" s="17">
        <v>472521</v>
      </c>
      <c r="CL156" s="17">
        <v>658257</v>
      </c>
      <c r="CM156" s="17">
        <v>287.05399999999997</v>
      </c>
      <c r="CN156" s="17">
        <v>1.3702399999999999</v>
      </c>
      <c r="CO156" s="17">
        <v>1062.3699999999999</v>
      </c>
      <c r="CP156" s="17">
        <v>504.52600000000001</v>
      </c>
      <c r="CQ156" s="17">
        <v>6933.41</v>
      </c>
      <c r="CR156" s="17">
        <v>504.52600000000001</v>
      </c>
      <c r="CS156" s="17">
        <v>1</v>
      </c>
      <c r="CT156" s="17">
        <v>594.89099999999996</v>
      </c>
      <c r="CU156" s="17">
        <v>77.588899999999995</v>
      </c>
      <c r="CV156" s="17">
        <v>2.67113E-2</v>
      </c>
      <c r="CW156" s="17">
        <v>55853.4</v>
      </c>
      <c r="CX156" s="17">
        <v>78124.5</v>
      </c>
      <c r="CY156" s="17">
        <v>287.04000000000002</v>
      </c>
      <c r="CZ156" s="17">
        <v>1.3905099999999999</v>
      </c>
      <c r="DA156" s="17">
        <v>1022.08</v>
      </c>
      <c r="DB156" s="17">
        <v>175.96</v>
      </c>
      <c r="DC156" s="17">
        <v>6933.41</v>
      </c>
      <c r="DD156" s="17">
        <v>1189.46</v>
      </c>
      <c r="DE156" s="17">
        <v>6.7598200000000004</v>
      </c>
      <c r="DF156" s="121">
        <f t="shared" si="67"/>
        <v>6001462.0573290261</v>
      </c>
      <c r="DG156" s="121">
        <f t="shared" si="68"/>
        <v>785532.04580000008</v>
      </c>
      <c r="DH156" s="79"/>
    </row>
    <row r="157" spans="1:117" s="2" customFormat="1">
      <c r="A157" s="1">
        <v>155</v>
      </c>
      <c r="B157" s="2" t="s">
        <v>380</v>
      </c>
      <c r="C157" s="2">
        <v>260123</v>
      </c>
      <c r="D157" s="2" t="s">
        <v>370</v>
      </c>
      <c r="E157" s="2" t="s">
        <v>371</v>
      </c>
      <c r="F157" s="2">
        <v>6.76</v>
      </c>
      <c r="G157" s="2">
        <v>1023.3</v>
      </c>
      <c r="H157" s="2">
        <v>15.7</v>
      </c>
      <c r="I157" s="2">
        <v>16.7</v>
      </c>
      <c r="J157" s="2" t="s">
        <v>381</v>
      </c>
      <c r="L157" s="2" t="s">
        <v>376</v>
      </c>
      <c r="M157" s="2" t="s">
        <v>363</v>
      </c>
      <c r="N157" s="2" t="s">
        <v>364</v>
      </c>
      <c r="O157" s="2">
        <v>0.74</v>
      </c>
      <c r="P157" s="2">
        <v>18</v>
      </c>
      <c r="Q157" s="2">
        <v>1</v>
      </c>
      <c r="R157" s="2">
        <v>2500000</v>
      </c>
      <c r="AA157" s="2">
        <f t="shared" si="58"/>
        <v>1.74</v>
      </c>
      <c r="AB157">
        <f t="shared" si="59"/>
        <v>18</v>
      </c>
      <c r="AC157" s="17">
        <v>50.293632708700422</v>
      </c>
      <c r="AD157" s="17"/>
      <c r="AE157" s="17"/>
      <c r="AF157" s="17">
        <v>35.623182525613878</v>
      </c>
      <c r="AG157" s="17">
        <v>0.77184731076385626</v>
      </c>
      <c r="AH157" s="17">
        <v>4.9000000000000004</v>
      </c>
      <c r="AI157" s="17">
        <v>723.79849449913138</v>
      </c>
      <c r="AJ157" s="17">
        <v>2.5907999999999989</v>
      </c>
      <c r="AK157" s="17">
        <v>0.56839999999999868</v>
      </c>
      <c r="AL157" s="17">
        <v>174000</v>
      </c>
      <c r="AM157" s="17">
        <v>291.14999999999998</v>
      </c>
      <c r="AN157" s="17">
        <v>2.08196</v>
      </c>
      <c r="AO157" s="17">
        <v>209588</v>
      </c>
      <c r="AP157" s="17">
        <v>293163</v>
      </c>
      <c r="AQ157" s="17">
        <v>287.05099999999999</v>
      </c>
      <c r="AR157" s="17">
        <v>1.39052</v>
      </c>
      <c r="AS157" s="17">
        <v>1022.1</v>
      </c>
      <c r="AT157" s="17">
        <v>340.85700000000003</v>
      </c>
      <c r="AU157" s="17">
        <v>6670.46</v>
      </c>
      <c r="AV157" s="17">
        <v>0</v>
      </c>
      <c r="AW157" s="17">
        <v>0</v>
      </c>
      <c r="AX157" s="17">
        <v>882082</v>
      </c>
      <c r="AY157" s="17">
        <v>517.76700000000005</v>
      </c>
      <c r="AZ157" s="17">
        <v>5.9348099999999997</v>
      </c>
      <c r="BA157" s="17">
        <v>374241</v>
      </c>
      <c r="BB157" s="17">
        <v>522869</v>
      </c>
      <c r="BC157" s="17">
        <v>287.05700000000002</v>
      </c>
      <c r="BD157" s="17">
        <v>1.38459</v>
      </c>
      <c r="BE157" s="17">
        <v>1033.45</v>
      </c>
      <c r="BF157" s="17">
        <v>453.64299999999997</v>
      </c>
      <c r="BG157" s="17">
        <v>6799.31</v>
      </c>
      <c r="BH157" s="17">
        <v>253.91200000000001</v>
      </c>
      <c r="BI157" s="17">
        <v>0.55971766344901175</v>
      </c>
      <c r="BJ157" s="17">
        <v>3134810</v>
      </c>
      <c r="BK157" s="17">
        <v>771.4</v>
      </c>
      <c r="BL157" s="17">
        <v>14.157</v>
      </c>
      <c r="BM157" s="17">
        <v>570790</v>
      </c>
      <c r="BN157" s="17">
        <v>792220</v>
      </c>
      <c r="BO157" s="17">
        <v>287.05</v>
      </c>
      <c r="BP157" s="17">
        <v>1.35677</v>
      </c>
      <c r="BQ157" s="17">
        <v>1091.6199999999999</v>
      </c>
      <c r="BR157" s="17">
        <v>548.14700000000005</v>
      </c>
      <c r="BS157" s="17">
        <v>6857.76</v>
      </c>
      <c r="BT157" s="17">
        <v>0</v>
      </c>
      <c r="BU157" s="17">
        <v>0</v>
      </c>
      <c r="BV157" s="17">
        <v>3562320</v>
      </c>
      <c r="BW157" s="17">
        <v>797.67600000000004</v>
      </c>
      <c r="BX157" s="17">
        <v>15.5578</v>
      </c>
      <c r="BY157" s="17">
        <v>591957</v>
      </c>
      <c r="BZ157" s="17">
        <v>820930</v>
      </c>
      <c r="CA157" s="17">
        <v>287.05099999999999</v>
      </c>
      <c r="CB157" s="17">
        <v>1.3540000000000001</v>
      </c>
      <c r="CC157" s="17">
        <v>1097.93</v>
      </c>
      <c r="CD157" s="17">
        <v>556.80700000000002</v>
      </c>
      <c r="CE157" s="17">
        <v>6857.76</v>
      </c>
      <c r="CF157" s="17">
        <v>0</v>
      </c>
      <c r="CG157" s="17">
        <v>0</v>
      </c>
      <c r="CH157" s="17">
        <v>1901570</v>
      </c>
      <c r="CI157" s="17">
        <v>675.40899999999999</v>
      </c>
      <c r="CJ157" s="17">
        <v>9.8080400000000001</v>
      </c>
      <c r="CK157" s="17">
        <v>494499</v>
      </c>
      <c r="CL157" s="17">
        <v>688378</v>
      </c>
      <c r="CM157" s="17">
        <v>287.05399999999997</v>
      </c>
      <c r="CN157" s="17">
        <v>1.3671599999999999</v>
      </c>
      <c r="CO157" s="17">
        <v>1068.8699999999999</v>
      </c>
      <c r="CP157" s="17">
        <v>514.88199999999995</v>
      </c>
      <c r="CQ157" s="17">
        <v>6857.76</v>
      </c>
      <c r="CR157" s="17">
        <v>514.88199999999995</v>
      </c>
      <c r="CS157" s="17">
        <v>1</v>
      </c>
      <c r="CT157" s="17">
        <v>907.45699999999999</v>
      </c>
      <c r="CU157" s="17">
        <v>81.073099999999997</v>
      </c>
      <c r="CV157" s="17">
        <v>3.8995599999999998E-2</v>
      </c>
      <c r="CW157" s="17">
        <v>58361.5</v>
      </c>
      <c r="CX157" s="17">
        <v>81632.2</v>
      </c>
      <c r="CY157" s="17">
        <v>287.03399999999999</v>
      </c>
      <c r="CZ157" s="17">
        <v>1.3905000000000001</v>
      </c>
      <c r="DA157" s="17">
        <v>1022.08</v>
      </c>
      <c r="DB157" s="17">
        <v>179.86799999999999</v>
      </c>
      <c r="DC157" s="17">
        <v>6857.76</v>
      </c>
      <c r="DD157" s="17">
        <v>1215.98</v>
      </c>
      <c r="DE157" s="17">
        <v>6.7603799999999996</v>
      </c>
      <c r="DF157" s="121">
        <f t="shared" si="67"/>
        <v>8540609.7531342767</v>
      </c>
      <c r="DG157" s="121">
        <f t="shared" si="68"/>
        <v>820935.88020000001</v>
      </c>
      <c r="DH157" s="64"/>
    </row>
    <row r="158" spans="1:117" s="2" customFormat="1">
      <c r="A158" s="1">
        <v>156</v>
      </c>
      <c r="B158" s="2" t="s">
        <v>382</v>
      </c>
      <c r="C158" s="2">
        <v>260123</v>
      </c>
      <c r="D158" s="2" t="s">
        <v>370</v>
      </c>
      <c r="E158" s="2" t="s">
        <v>371</v>
      </c>
      <c r="F158" s="2">
        <v>6.76</v>
      </c>
      <c r="G158" s="2">
        <v>1023.2</v>
      </c>
      <c r="H158" s="2">
        <v>15.3</v>
      </c>
      <c r="I158" s="2">
        <v>17.399999999999999</v>
      </c>
      <c r="J158" s="2" t="s">
        <v>383</v>
      </c>
      <c r="K158" s="2">
        <v>88</v>
      </c>
      <c r="L158" s="2" t="s">
        <v>376</v>
      </c>
      <c r="M158" s="2" t="s">
        <v>363</v>
      </c>
      <c r="N158" s="2" t="s">
        <v>364</v>
      </c>
      <c r="O158" s="2">
        <v>0.74</v>
      </c>
      <c r="P158" s="2">
        <v>18.2</v>
      </c>
      <c r="Q158" s="2">
        <v>1</v>
      </c>
      <c r="R158" s="2">
        <v>2500000</v>
      </c>
      <c r="AA158" s="2">
        <f t="shared" si="58"/>
        <v>1.74</v>
      </c>
      <c r="AB158">
        <f t="shared" si="59"/>
        <v>18.2</v>
      </c>
      <c r="AC158" s="17">
        <v>52.08591377690319</v>
      </c>
      <c r="AD158" s="17"/>
      <c r="AE158" s="17"/>
      <c r="AF158" s="17">
        <v>36.541149392865471</v>
      </c>
      <c r="AG158" s="17">
        <v>1.029652444446338</v>
      </c>
      <c r="AH158" s="17">
        <v>4.5</v>
      </c>
      <c r="AI158" s="17">
        <v>722.96124927704</v>
      </c>
      <c r="AJ158" s="17">
        <v>1.1452000000000011</v>
      </c>
      <c r="AK158" s="17">
        <v>1.1668000000000001</v>
      </c>
      <c r="AL158" s="17">
        <v>174000</v>
      </c>
      <c r="AM158" s="17">
        <v>291.35000000000002</v>
      </c>
      <c r="AN158" s="17">
        <v>2.08053</v>
      </c>
      <c r="AO158" s="17">
        <v>209732</v>
      </c>
      <c r="AP158" s="17">
        <v>293364</v>
      </c>
      <c r="AQ158" s="17">
        <v>287.05099999999999</v>
      </c>
      <c r="AR158" s="17">
        <v>1.39052</v>
      </c>
      <c r="AS158" s="17">
        <v>1022.1</v>
      </c>
      <c r="AT158" s="17">
        <v>340.97399999999999</v>
      </c>
      <c r="AU158" s="17">
        <v>6671.17</v>
      </c>
      <c r="AV158" s="17">
        <v>0</v>
      </c>
      <c r="AW158" s="17">
        <v>0</v>
      </c>
      <c r="AX158" s="17">
        <v>879342</v>
      </c>
      <c r="AY158" s="17">
        <v>517.35</v>
      </c>
      <c r="AZ158" s="17">
        <v>5.9211499999999999</v>
      </c>
      <c r="BA158" s="17">
        <v>373927</v>
      </c>
      <c r="BB158" s="17">
        <v>522436</v>
      </c>
      <c r="BC158" s="17">
        <v>287.05700000000002</v>
      </c>
      <c r="BD158" s="17">
        <v>1.3846400000000001</v>
      </c>
      <c r="BE158" s="17">
        <v>1033.3599999999999</v>
      </c>
      <c r="BF158" s="17">
        <v>453.46699999999998</v>
      </c>
      <c r="BG158" s="17">
        <v>6799.37</v>
      </c>
      <c r="BH158" s="17">
        <v>254.029</v>
      </c>
      <c r="BI158" s="17">
        <v>0.56019291370706137</v>
      </c>
      <c r="BJ158" s="17">
        <v>3119530</v>
      </c>
      <c r="BK158" s="17">
        <v>770.27599999999995</v>
      </c>
      <c r="BL158" s="17">
        <v>14.108599999999999</v>
      </c>
      <c r="BM158" s="17">
        <v>569887</v>
      </c>
      <c r="BN158" s="17">
        <v>790995</v>
      </c>
      <c r="BO158" s="17">
        <v>287.05</v>
      </c>
      <c r="BP158" s="17">
        <v>1.3568899999999999</v>
      </c>
      <c r="BQ158" s="17">
        <v>1091.3499999999999</v>
      </c>
      <c r="BR158" s="17">
        <v>547.77200000000005</v>
      </c>
      <c r="BS158" s="17">
        <v>6857.57</v>
      </c>
      <c r="BT158" s="17">
        <v>0</v>
      </c>
      <c r="BU158" s="17">
        <v>0</v>
      </c>
      <c r="BV158" s="17">
        <v>3654120</v>
      </c>
      <c r="BW158" s="17">
        <v>802.851</v>
      </c>
      <c r="BX158" s="17">
        <v>15.8558</v>
      </c>
      <c r="BY158" s="17">
        <v>596140</v>
      </c>
      <c r="BZ158" s="17">
        <v>826599</v>
      </c>
      <c r="CA158" s="17">
        <v>287.05099999999999</v>
      </c>
      <c r="CB158" s="17">
        <v>1.35345</v>
      </c>
      <c r="CC158" s="17">
        <v>1099.18</v>
      </c>
      <c r="CD158" s="17">
        <v>558.49199999999996</v>
      </c>
      <c r="CE158" s="17">
        <v>6857.57</v>
      </c>
      <c r="CF158" s="17">
        <v>0</v>
      </c>
      <c r="CG158" s="17">
        <v>0</v>
      </c>
      <c r="CH158" s="17">
        <v>1950500</v>
      </c>
      <c r="CI158" s="17">
        <v>679.90899999999999</v>
      </c>
      <c r="CJ158" s="17">
        <v>9.9938099999999999</v>
      </c>
      <c r="CK158" s="17">
        <v>498040</v>
      </c>
      <c r="CL158" s="17">
        <v>693211</v>
      </c>
      <c r="CM158" s="17">
        <v>287.05399999999997</v>
      </c>
      <c r="CN158" s="17">
        <v>1.3666700000000001</v>
      </c>
      <c r="CO158" s="17">
        <v>1069.93</v>
      </c>
      <c r="CP158" s="17">
        <v>516.50300000000004</v>
      </c>
      <c r="CQ158" s="17">
        <v>6857.57</v>
      </c>
      <c r="CR158" s="17">
        <v>516.50300000000004</v>
      </c>
      <c r="CS158" s="17">
        <v>1</v>
      </c>
      <c r="CT158" s="17">
        <v>930.57399999999996</v>
      </c>
      <c r="CU158" s="17">
        <v>81.6374</v>
      </c>
      <c r="CV158" s="17">
        <v>3.9712400000000002E-2</v>
      </c>
      <c r="CW158" s="17">
        <v>58767.7</v>
      </c>
      <c r="CX158" s="17">
        <v>82200.600000000006</v>
      </c>
      <c r="CY158" s="17">
        <v>287.03500000000003</v>
      </c>
      <c r="CZ158" s="17">
        <v>1.3905000000000001</v>
      </c>
      <c r="DA158" s="17">
        <v>1022.08</v>
      </c>
      <c r="DB158" s="17">
        <v>180.49299999999999</v>
      </c>
      <c r="DC158" s="17">
        <v>6857.57</v>
      </c>
      <c r="DD158" s="17">
        <v>1220.1600000000001</v>
      </c>
      <c r="DE158" s="17">
        <v>6.7601699999999996</v>
      </c>
      <c r="DF158" s="121">
        <f t="shared" si="67"/>
        <v>8662539.7669872977</v>
      </c>
      <c r="DG158" s="121">
        <f t="shared" si="68"/>
        <v>826595.81280000007</v>
      </c>
      <c r="DH158" s="64"/>
    </row>
    <row r="159" spans="1:117" s="2" customFormat="1">
      <c r="A159" s="1">
        <v>157</v>
      </c>
      <c r="B159" s="2" t="s">
        <v>390</v>
      </c>
      <c r="C159" s="2">
        <v>260203</v>
      </c>
      <c r="D159" s="2" t="s">
        <v>384</v>
      </c>
      <c r="E159" s="2" t="s">
        <v>385</v>
      </c>
      <c r="F159" s="2">
        <v>6.76</v>
      </c>
      <c r="G159" s="2">
        <v>1026.9000000000001</v>
      </c>
      <c r="H159" s="2">
        <v>16.899999999999999</v>
      </c>
      <c r="I159" s="2">
        <v>23.6</v>
      </c>
      <c r="J159" s="2" t="s">
        <v>386</v>
      </c>
      <c r="K159" s="2">
        <v>280</v>
      </c>
      <c r="L159" s="2" t="s">
        <v>378</v>
      </c>
      <c r="M159" s="2" t="s">
        <v>363</v>
      </c>
      <c r="N159" s="2" t="s">
        <v>387</v>
      </c>
      <c r="O159" s="2">
        <v>1.8049999999999999</v>
      </c>
      <c r="P159" s="2">
        <v>19.3</v>
      </c>
      <c r="Q159" s="2">
        <v>1</v>
      </c>
      <c r="R159" s="2">
        <v>2500000</v>
      </c>
      <c r="S159" s="2" t="s">
        <v>366</v>
      </c>
      <c r="T159" s="2" t="s">
        <v>391</v>
      </c>
      <c r="U159" s="2" t="s">
        <v>365</v>
      </c>
      <c r="V159" s="2">
        <v>65000</v>
      </c>
      <c r="W159" s="2">
        <v>1280</v>
      </c>
      <c r="X159" s="2">
        <v>800</v>
      </c>
      <c r="Y159" s="2" t="s">
        <v>389</v>
      </c>
      <c r="Z159" s="2">
        <v>15</v>
      </c>
      <c r="AA159" s="2">
        <f t="shared" si="58"/>
        <v>2.8049999999999997</v>
      </c>
      <c r="AB159">
        <f t="shared" si="59"/>
        <v>19.3</v>
      </c>
      <c r="AC159" s="17">
        <v>78.497611494105769</v>
      </c>
      <c r="AD159" s="17"/>
      <c r="AE159" s="17"/>
      <c r="AF159" s="17">
        <v>52.956555817904757</v>
      </c>
      <c r="AG159" s="17">
        <v>1.882175800057359</v>
      </c>
      <c r="AH159" s="17">
        <v>4.5999999999999996</v>
      </c>
      <c r="AI159" s="17">
        <v>702.24719101123685</v>
      </c>
      <c r="AL159" s="17">
        <v>280500</v>
      </c>
      <c r="AM159" s="17">
        <v>292.45</v>
      </c>
      <c r="AN159" s="17">
        <v>3.3412899999999999</v>
      </c>
      <c r="AO159" s="17">
        <v>210524</v>
      </c>
      <c r="AP159" s="17">
        <v>294473</v>
      </c>
      <c r="AQ159" s="17">
        <v>287.05599999999998</v>
      </c>
      <c r="AR159" s="17">
        <v>1.39053</v>
      </c>
      <c r="AS159" s="17">
        <v>1022.1</v>
      </c>
      <c r="AT159" s="17">
        <v>341.61799999999999</v>
      </c>
      <c r="AU159" s="17">
        <v>6538.08</v>
      </c>
      <c r="AV159" s="17">
        <v>0</v>
      </c>
      <c r="AW159" s="17">
        <v>0</v>
      </c>
      <c r="AX159" s="17">
        <v>1329100</v>
      </c>
      <c r="AY159" s="17">
        <v>503.88200000000001</v>
      </c>
      <c r="AZ159" s="17">
        <v>9.1889099999999999</v>
      </c>
      <c r="BA159" s="17">
        <v>363805</v>
      </c>
      <c r="BB159" s="17">
        <v>508446</v>
      </c>
      <c r="BC159" s="17">
        <v>287.05500000000001</v>
      </c>
      <c r="BD159" s="17">
        <v>1.38618</v>
      </c>
      <c r="BE159" s="17">
        <v>1030.3800000000001</v>
      </c>
      <c r="BF159" s="17">
        <v>447.76100000000002</v>
      </c>
      <c r="BG159" s="17">
        <v>6653.59</v>
      </c>
      <c r="BH159" s="17">
        <v>255.35300000000001</v>
      </c>
      <c r="BI159" s="17">
        <v>0.57028861379173268</v>
      </c>
      <c r="BJ159" s="17">
        <v>4541790</v>
      </c>
      <c r="BK159" s="17">
        <v>740.32</v>
      </c>
      <c r="BL159" s="17">
        <v>21.372199999999999</v>
      </c>
      <c r="BM159" s="17">
        <v>545911</v>
      </c>
      <c r="BN159" s="17">
        <v>758420</v>
      </c>
      <c r="BO159" s="17">
        <v>287.05099999999999</v>
      </c>
      <c r="BP159" s="17">
        <v>1.3601000000000001</v>
      </c>
      <c r="BQ159" s="17">
        <v>1084.2</v>
      </c>
      <c r="BR159" s="17">
        <v>537.66499999999996</v>
      </c>
      <c r="BS159" s="17">
        <v>6706.61</v>
      </c>
      <c r="BT159" s="17">
        <v>0</v>
      </c>
      <c r="BU159" s="17">
        <v>0</v>
      </c>
      <c r="BV159" s="17">
        <v>5295660</v>
      </c>
      <c r="BW159" s="17">
        <v>770.91700000000003</v>
      </c>
      <c r="BX159" s="17">
        <v>23.930700000000002</v>
      </c>
      <c r="BY159" s="17">
        <v>570402</v>
      </c>
      <c r="BZ159" s="17">
        <v>791693</v>
      </c>
      <c r="CA159" s="17">
        <v>287.05</v>
      </c>
      <c r="CB159" s="17">
        <v>1.35683</v>
      </c>
      <c r="CC159" s="17">
        <v>1091.5</v>
      </c>
      <c r="CD159" s="17">
        <v>547.98500000000001</v>
      </c>
      <c r="CE159" s="17">
        <v>6706.61</v>
      </c>
      <c r="CF159" s="17">
        <v>0</v>
      </c>
      <c r="CG159" s="17">
        <v>0</v>
      </c>
      <c r="CH159" s="17">
        <v>2824330</v>
      </c>
      <c r="CI159" s="17">
        <v>652.00599999999997</v>
      </c>
      <c r="CJ159" s="17">
        <v>15.0906</v>
      </c>
      <c r="CK159" s="17">
        <v>476336</v>
      </c>
      <c r="CL159" s="17">
        <v>663494</v>
      </c>
      <c r="CM159" s="17">
        <v>287.05099999999999</v>
      </c>
      <c r="CN159" s="17">
        <v>1.3696999999999999</v>
      </c>
      <c r="CO159" s="17">
        <v>1063.49</v>
      </c>
      <c r="CP159" s="17">
        <v>506.358</v>
      </c>
      <c r="CQ159" s="17">
        <v>6706.61</v>
      </c>
      <c r="CR159" s="17">
        <v>506.35700000000003</v>
      </c>
      <c r="CS159" s="17">
        <v>0.99999802511266733</v>
      </c>
      <c r="CT159" s="17">
        <v>1344.32</v>
      </c>
      <c r="CU159" s="17">
        <v>78.196200000000005</v>
      </c>
      <c r="CV159" s="17">
        <v>5.9889999999999999E-2</v>
      </c>
      <c r="CW159" s="17">
        <v>56290.6</v>
      </c>
      <c r="CX159" s="17">
        <v>78737.100000000006</v>
      </c>
      <c r="CY159" s="17">
        <v>287.05399999999997</v>
      </c>
      <c r="CZ159" s="17">
        <v>1.39053</v>
      </c>
      <c r="DA159" s="17">
        <v>1022.1</v>
      </c>
      <c r="DB159" s="17">
        <v>176.648</v>
      </c>
      <c r="DC159" s="17">
        <v>6706.62</v>
      </c>
      <c r="DD159" s="17">
        <v>1194.1199999999999</v>
      </c>
      <c r="DE159" s="17">
        <v>6.7598700000000003</v>
      </c>
      <c r="DF159" s="121">
        <f t="shared" si="67"/>
        <v>13394659.693120671</v>
      </c>
      <c r="DG159" s="121">
        <f t="shared" si="68"/>
        <v>791698.38719999988</v>
      </c>
      <c r="DH159" s="79"/>
    </row>
    <row r="160" spans="1:117">
      <c r="A160" s="1">
        <v>158</v>
      </c>
      <c r="B160" s="2" t="s">
        <v>390</v>
      </c>
      <c r="C160" s="2">
        <v>260203</v>
      </c>
      <c r="D160" s="2" t="s">
        <v>384</v>
      </c>
      <c r="E160" s="2" t="s">
        <v>385</v>
      </c>
      <c r="F160" s="2">
        <v>6.76</v>
      </c>
      <c r="G160" s="2">
        <v>1026.5</v>
      </c>
      <c r="H160" s="2">
        <v>15.5</v>
      </c>
      <c r="I160" s="2">
        <v>26.9</v>
      </c>
      <c r="J160" s="2" t="s">
        <v>392</v>
      </c>
      <c r="K160" s="2">
        <v>245</v>
      </c>
      <c r="L160" s="2" t="s">
        <v>393</v>
      </c>
      <c r="M160" s="2" t="s">
        <v>363</v>
      </c>
      <c r="N160" s="2" t="s">
        <v>387</v>
      </c>
      <c r="O160" s="2">
        <v>0.74299999999999999</v>
      </c>
      <c r="P160" s="2">
        <v>19</v>
      </c>
      <c r="Q160" s="2">
        <v>1</v>
      </c>
      <c r="R160" s="2">
        <v>2500000</v>
      </c>
      <c r="S160" s="2" t="s">
        <v>388</v>
      </c>
      <c r="T160" s="2" t="s">
        <v>391</v>
      </c>
      <c r="U160" s="2" t="s">
        <v>365</v>
      </c>
      <c r="V160" s="2">
        <v>65000</v>
      </c>
      <c r="W160" s="2">
        <v>1280</v>
      </c>
      <c r="X160" s="2">
        <v>800</v>
      </c>
      <c r="Y160" s="2" t="s">
        <v>389</v>
      </c>
      <c r="Z160" s="2">
        <v>15</v>
      </c>
      <c r="AA160" s="2">
        <f t="shared" si="58"/>
        <v>1.7429999999999999</v>
      </c>
      <c r="AB160">
        <f t="shared" si="59"/>
        <v>19</v>
      </c>
    </row>
    <row r="161" spans="1:28">
      <c r="A161" s="1">
        <v>159</v>
      </c>
      <c r="B161" s="2" t="s">
        <v>379</v>
      </c>
      <c r="C161" s="2">
        <v>260204</v>
      </c>
      <c r="D161" s="2" t="s">
        <v>384</v>
      </c>
      <c r="E161" s="2" t="s">
        <v>385</v>
      </c>
      <c r="F161" s="2">
        <v>6.76</v>
      </c>
      <c r="G161" s="2">
        <v>1020</v>
      </c>
      <c r="H161" s="2">
        <v>17.3</v>
      </c>
      <c r="I161" s="2">
        <v>31</v>
      </c>
      <c r="J161" s="2" t="s">
        <v>377</v>
      </c>
      <c r="K161" s="2">
        <v>230</v>
      </c>
      <c r="L161" s="2" t="s">
        <v>378</v>
      </c>
      <c r="M161" s="2" t="s">
        <v>363</v>
      </c>
      <c r="N161" s="2" t="s">
        <v>364</v>
      </c>
      <c r="O161" s="2">
        <v>1.8049999999999999</v>
      </c>
      <c r="P161" s="2">
        <v>19.100000000000001</v>
      </c>
      <c r="Q161" s="2">
        <v>1</v>
      </c>
      <c r="R161" s="2">
        <v>2500000</v>
      </c>
      <c r="S161" s="2" t="s">
        <v>388</v>
      </c>
      <c r="T161" s="2" t="s">
        <v>394</v>
      </c>
      <c r="U161" s="2" t="s">
        <v>365</v>
      </c>
      <c r="V161" s="2">
        <v>120000</v>
      </c>
      <c r="W161" s="2">
        <v>1280</v>
      </c>
      <c r="X161" s="2">
        <v>416</v>
      </c>
      <c r="Y161" s="2" t="s">
        <v>389</v>
      </c>
      <c r="Z161" s="2">
        <v>9.5000000000000001E-2</v>
      </c>
      <c r="AA161" s="2">
        <f t="shared" si="58"/>
        <v>2.8049999999999997</v>
      </c>
      <c r="AB161">
        <f t="shared" si="59"/>
        <v>19.100000000000001</v>
      </c>
    </row>
    <row r="162" spans="1:28">
      <c r="A162" s="1">
        <v>160</v>
      </c>
      <c r="B162" s="2" t="s">
        <v>379</v>
      </c>
      <c r="C162" s="2">
        <v>260204</v>
      </c>
      <c r="D162" s="2" t="s">
        <v>384</v>
      </c>
      <c r="E162" s="2" t="s">
        <v>385</v>
      </c>
      <c r="F162" s="2">
        <v>6.76</v>
      </c>
      <c r="G162" s="2">
        <v>1020</v>
      </c>
      <c r="H162" s="2">
        <v>17.3</v>
      </c>
      <c r="I162" s="2">
        <v>31</v>
      </c>
      <c r="J162" s="2" t="s">
        <v>375</v>
      </c>
      <c r="K162" s="2">
        <v>200</v>
      </c>
      <c r="L162" s="2" t="s">
        <v>376</v>
      </c>
      <c r="M162" s="2" t="s">
        <v>363</v>
      </c>
      <c r="N162" s="2" t="s">
        <v>364</v>
      </c>
      <c r="O162" s="2">
        <v>0.74299999999999999</v>
      </c>
      <c r="P162" s="2">
        <v>19.100000000000001</v>
      </c>
      <c r="Q162" s="2">
        <v>1</v>
      </c>
      <c r="R162" s="2">
        <v>2500000</v>
      </c>
      <c r="S162" s="2" t="s">
        <v>388</v>
      </c>
      <c r="T162" s="2" t="s">
        <v>394</v>
      </c>
      <c r="U162" s="2" t="s">
        <v>365</v>
      </c>
      <c r="V162" s="2">
        <v>120000</v>
      </c>
      <c r="W162" s="2">
        <v>1280</v>
      </c>
      <c r="X162" s="2">
        <v>416</v>
      </c>
      <c r="Y162" s="2" t="s">
        <v>389</v>
      </c>
      <c r="Z162" s="2">
        <v>9.5000000000000001E-2</v>
      </c>
      <c r="AA162" s="2">
        <f t="shared" si="58"/>
        <v>1.7429999999999999</v>
      </c>
      <c r="AB162">
        <f t="shared" si="59"/>
        <v>19.100000000000001</v>
      </c>
    </row>
    <row r="163" spans="1:28">
      <c r="A163" s="1">
        <v>161</v>
      </c>
      <c r="B163" s="2" t="s">
        <v>379</v>
      </c>
      <c r="C163" s="2">
        <v>260204</v>
      </c>
      <c r="D163" s="2" t="s">
        <v>384</v>
      </c>
      <c r="E163" s="2" t="s">
        <v>385</v>
      </c>
      <c r="F163" s="2">
        <v>6.76</v>
      </c>
      <c r="G163" s="2">
        <v>1020</v>
      </c>
      <c r="H163" s="2">
        <v>15.5</v>
      </c>
      <c r="I163" s="2">
        <v>33.799999999999997</v>
      </c>
      <c r="J163" s="2" t="s">
        <v>374</v>
      </c>
      <c r="K163" s="2">
        <v>180</v>
      </c>
      <c r="L163" s="2" t="s">
        <v>372</v>
      </c>
      <c r="M163" s="2" t="s">
        <v>363</v>
      </c>
      <c r="N163" s="2" t="s">
        <v>364</v>
      </c>
      <c r="O163" s="2">
        <v>0.13</v>
      </c>
      <c r="P163" s="2">
        <v>18.7</v>
      </c>
      <c r="Q163" s="2">
        <v>1</v>
      </c>
      <c r="R163" s="2">
        <v>2500000</v>
      </c>
      <c r="S163" s="2" t="s">
        <v>388</v>
      </c>
      <c r="T163" s="2" t="s">
        <v>394</v>
      </c>
      <c r="U163" s="2" t="s">
        <v>365</v>
      </c>
      <c r="V163" s="2">
        <v>120000</v>
      </c>
      <c r="W163" s="2">
        <v>1280</v>
      </c>
      <c r="X163" s="2">
        <v>416</v>
      </c>
      <c r="Y163" s="2" t="s">
        <v>389</v>
      </c>
      <c r="Z163" s="2">
        <v>9.5000000000000001E-2</v>
      </c>
      <c r="AA163" s="2">
        <f t="shared" si="58"/>
        <v>1.1299999999999999</v>
      </c>
      <c r="AB163">
        <f t="shared" si="59"/>
        <v>18.7</v>
      </c>
    </row>
  </sheetData>
  <autoFilter ref="A3:XFD3" xr:uid="{00000000-0009-0000-0000-000000000000}"/>
  <mergeCells count="11">
    <mergeCell ref="A1:Z1"/>
    <mergeCell ref="AA1:DP1"/>
    <mergeCell ref="A2:E2"/>
    <mergeCell ref="G2:R2"/>
    <mergeCell ref="S2:T2"/>
    <mergeCell ref="U2:Z2"/>
    <mergeCell ref="AA2:AK2"/>
    <mergeCell ref="AL2:DE2"/>
    <mergeCell ref="DF2:DH2"/>
    <mergeCell ref="DI2:DM2"/>
    <mergeCell ref="DN2:DP2"/>
  </mergeCells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2"/>
  <sheetViews>
    <sheetView topLeftCell="H1" zoomScaleNormal="100" workbookViewId="0">
      <selection activeCell="CA18" sqref="CA18"/>
    </sheetView>
  </sheetViews>
  <sheetFormatPr baseColWidth="10" defaultColWidth="11.5703125" defaultRowHeight="18"/>
  <cols>
    <col min="1" max="1" width="12.7109375" customWidth="1"/>
    <col min="2" max="2" width="13.7109375" hidden="1" customWidth="1"/>
    <col min="3" max="3" width="12.7109375" customWidth="1"/>
    <col min="4" max="4" width="12.7109375" hidden="1" customWidth="1"/>
    <col min="5" max="5" width="13.7109375" hidden="1" customWidth="1"/>
    <col min="6" max="7" width="12.7109375" hidden="1" customWidth="1"/>
    <col min="8" max="8" width="12" customWidth="1"/>
    <col min="9" max="9" width="15.7109375" customWidth="1"/>
    <col min="10" max="10" width="19.85546875" hidden="1" customWidth="1"/>
    <col min="11" max="11" width="20" hidden="1" customWidth="1"/>
    <col min="12" max="13" width="12.7109375" hidden="1" customWidth="1"/>
    <col min="14" max="14" width="19.7109375" hidden="1" customWidth="1"/>
    <col min="15" max="16" width="14.140625" hidden="1" customWidth="1"/>
    <col min="17" max="17" width="17" hidden="1" customWidth="1"/>
    <col min="18" max="18" width="11.5703125" hidden="1"/>
    <col min="19" max="19" width="18.28515625" hidden="1" customWidth="1"/>
    <col min="20" max="20" width="13.85546875" hidden="1" customWidth="1"/>
    <col min="21" max="21" width="16.7109375" hidden="1" customWidth="1"/>
    <col min="22" max="22" width="14.140625" hidden="1" customWidth="1"/>
    <col min="23" max="23" width="9.7109375" hidden="1" customWidth="1"/>
    <col min="24" max="25" width="12.7109375" hidden="1" customWidth="1"/>
    <col min="26" max="26" width="19.7109375" hidden="1" customWidth="1"/>
    <col min="27" max="28" width="14.140625" hidden="1" customWidth="1"/>
    <col min="29" max="29" width="17" hidden="1" customWidth="1"/>
    <col min="30" max="30" width="12.7109375" hidden="1" customWidth="1"/>
    <col min="31" max="31" width="18.28515625" hidden="1" customWidth="1"/>
    <col min="32" max="32" width="13.85546875" hidden="1" customWidth="1"/>
    <col min="33" max="33" width="16.7109375" hidden="1" customWidth="1"/>
    <col min="34" max="34" width="14.140625" hidden="1" customWidth="1"/>
    <col min="35" max="37" width="12.7109375" hidden="1" customWidth="1"/>
    <col min="38" max="38" width="19.7109375" hidden="1" customWidth="1"/>
    <col min="39" max="40" width="14.140625" hidden="1" customWidth="1"/>
    <col min="41" max="41" width="17" hidden="1" customWidth="1"/>
    <col min="42" max="42" width="12.7109375" hidden="1" customWidth="1"/>
    <col min="43" max="43" width="18.28515625" hidden="1" customWidth="1"/>
    <col min="44" max="44" width="13.85546875" hidden="1" customWidth="1"/>
    <col min="45" max="45" width="16.7109375" hidden="1" customWidth="1"/>
    <col min="46" max="46" width="14.140625" hidden="1" customWidth="1"/>
    <col min="47" max="47" width="9.7109375" hidden="1" customWidth="1"/>
    <col min="48" max="48" width="13.5703125" customWidth="1"/>
    <col min="49" max="49" width="12.7109375" customWidth="1"/>
    <col min="50" max="50" width="20.42578125" hidden="1" customWidth="1"/>
    <col min="51" max="52" width="15" hidden="1" customWidth="1"/>
    <col min="53" max="53" width="17.7109375" hidden="1" customWidth="1"/>
    <col min="54" max="54" width="12.7109375" hidden="1" customWidth="1"/>
    <col min="55" max="55" width="19" hidden="1" customWidth="1"/>
    <col min="56" max="56" width="14.5703125" hidden="1" customWidth="1"/>
    <col min="57" max="57" width="17.42578125" hidden="1" customWidth="1"/>
    <col min="58" max="58" width="15" hidden="1" customWidth="1"/>
    <col min="59" max="59" width="10.42578125" hidden="1" customWidth="1"/>
    <col min="60" max="61" width="12.7109375" hidden="1" customWidth="1"/>
    <col min="62" max="62" width="19.7109375" hidden="1" customWidth="1"/>
    <col min="63" max="64" width="14.140625" hidden="1" customWidth="1"/>
    <col min="65" max="65" width="17" hidden="1" customWidth="1"/>
    <col min="66" max="66" width="12.7109375" hidden="1" customWidth="1"/>
    <col min="67" max="67" width="18.28515625" hidden="1" customWidth="1"/>
    <col min="68" max="68" width="13.85546875" hidden="1" customWidth="1"/>
    <col min="69" max="69" width="16.7109375" hidden="1" customWidth="1"/>
    <col min="70" max="70" width="14.140625" hidden="1" customWidth="1"/>
    <col min="71" max="71" width="12.7109375" hidden="1" customWidth="1"/>
    <col min="72" max="73" width="12.7109375" customWidth="1"/>
    <col min="74" max="74" width="19" customWidth="1"/>
    <col min="75" max="76" width="14.140625" hidden="1" customWidth="1"/>
    <col min="77" max="77" width="17" hidden="1" customWidth="1"/>
    <col min="78" max="78" width="11.5703125" hidden="1"/>
    <col min="79" max="79" width="18" customWidth="1"/>
    <col min="80" max="80" width="13.42578125" customWidth="1"/>
    <col min="81" max="81" width="16.5703125" customWidth="1"/>
    <col min="82" max="82" width="14.140625" customWidth="1"/>
    <col min="83" max="85" width="12.7109375" customWidth="1"/>
  </cols>
  <sheetData>
    <row r="1" spans="1:85">
      <c r="A1" s="11" t="s">
        <v>38</v>
      </c>
      <c r="B1" s="12" t="s">
        <v>39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  <c r="O1" s="11" t="s">
        <v>52</v>
      </c>
      <c r="P1" s="11" t="s">
        <v>53</v>
      </c>
      <c r="Q1" s="11" t="s">
        <v>54</v>
      </c>
      <c r="R1" s="11" t="s">
        <v>55</v>
      </c>
      <c r="S1" s="11" t="s">
        <v>56</v>
      </c>
      <c r="T1" s="11" t="s">
        <v>57</v>
      </c>
      <c r="U1" s="11" t="s">
        <v>58</v>
      </c>
      <c r="V1" s="11" t="s">
        <v>59</v>
      </c>
      <c r="W1" s="11" t="s">
        <v>60</v>
      </c>
      <c r="X1" s="11" t="s">
        <v>61</v>
      </c>
      <c r="Y1" s="11" t="s">
        <v>62</v>
      </c>
      <c r="Z1" s="11" t="s">
        <v>63</v>
      </c>
      <c r="AA1" s="11" t="s">
        <v>64</v>
      </c>
      <c r="AB1" s="11" t="s">
        <v>65</v>
      </c>
      <c r="AC1" s="11" t="s">
        <v>66</v>
      </c>
      <c r="AD1" s="11" t="s">
        <v>67</v>
      </c>
      <c r="AE1" s="11" t="s">
        <v>68</v>
      </c>
      <c r="AF1" s="11" t="s">
        <v>69</v>
      </c>
      <c r="AG1" s="11" t="s">
        <v>70</v>
      </c>
      <c r="AH1" s="11" t="s">
        <v>71</v>
      </c>
      <c r="AI1" s="11" t="s">
        <v>72</v>
      </c>
      <c r="AJ1" s="13" t="s">
        <v>73</v>
      </c>
      <c r="AK1" s="11" t="s">
        <v>74</v>
      </c>
      <c r="AL1" s="11" t="s">
        <v>75</v>
      </c>
      <c r="AM1" s="11" t="s">
        <v>76</v>
      </c>
      <c r="AN1" s="11" t="s">
        <v>77</v>
      </c>
      <c r="AO1" s="11" t="s">
        <v>78</v>
      </c>
      <c r="AP1" s="11" t="s">
        <v>79</v>
      </c>
      <c r="AQ1" s="11" t="s">
        <v>80</v>
      </c>
      <c r="AR1" s="11" t="s">
        <v>81</v>
      </c>
      <c r="AS1" s="11" t="s">
        <v>82</v>
      </c>
      <c r="AT1" s="11" t="s">
        <v>83</v>
      </c>
      <c r="AU1" s="11" t="s">
        <v>84</v>
      </c>
      <c r="AV1" s="13" t="s">
        <v>85</v>
      </c>
      <c r="AW1" s="11" t="s">
        <v>86</v>
      </c>
      <c r="AX1" s="11" t="s">
        <v>87</v>
      </c>
      <c r="AY1" s="11" t="s">
        <v>88</v>
      </c>
      <c r="AZ1" s="11" t="s">
        <v>89</v>
      </c>
      <c r="BA1" s="11" t="s">
        <v>90</v>
      </c>
      <c r="BB1" s="11" t="s">
        <v>91</v>
      </c>
      <c r="BC1" s="11" t="s">
        <v>92</v>
      </c>
      <c r="BD1" s="11" t="s">
        <v>93</v>
      </c>
      <c r="BE1" s="11" t="s">
        <v>94</v>
      </c>
      <c r="BF1" s="11" t="s">
        <v>95</v>
      </c>
      <c r="BG1" s="11" t="s">
        <v>96</v>
      </c>
      <c r="BH1" s="11" t="s">
        <v>97</v>
      </c>
      <c r="BI1" s="11" t="s">
        <v>98</v>
      </c>
      <c r="BJ1" s="11" t="s">
        <v>99</v>
      </c>
      <c r="BK1" s="11" t="s">
        <v>100</v>
      </c>
      <c r="BL1" s="11" t="s">
        <v>101</v>
      </c>
      <c r="BM1" s="11" t="s">
        <v>102</v>
      </c>
      <c r="BN1" s="11" t="s">
        <v>103</v>
      </c>
      <c r="BO1" s="11" t="s">
        <v>104</v>
      </c>
      <c r="BP1" s="11" t="s">
        <v>105</v>
      </c>
      <c r="BQ1" s="11" t="s">
        <v>106</v>
      </c>
      <c r="BR1" s="11" t="s">
        <v>107</v>
      </c>
      <c r="BS1" s="11" t="s">
        <v>108</v>
      </c>
      <c r="BT1" s="11" t="s">
        <v>109</v>
      </c>
      <c r="BU1" s="11" t="s">
        <v>110</v>
      </c>
      <c r="BV1" s="11" t="s">
        <v>111</v>
      </c>
      <c r="BW1" s="11" t="s">
        <v>112</v>
      </c>
      <c r="BX1" s="11" t="s">
        <v>113</v>
      </c>
      <c r="BY1" s="11" t="s">
        <v>114</v>
      </c>
      <c r="BZ1" s="11" t="s">
        <v>115</v>
      </c>
      <c r="CA1" s="11" t="s">
        <v>116</v>
      </c>
      <c r="CB1" s="11" t="s">
        <v>117</v>
      </c>
      <c r="CC1" s="11" t="s">
        <v>118</v>
      </c>
      <c r="CD1" s="11" t="s">
        <v>119</v>
      </c>
      <c r="CE1" s="11" t="s">
        <v>120</v>
      </c>
      <c r="CF1" s="14" t="s">
        <v>121</v>
      </c>
      <c r="CG1" s="14" t="s">
        <v>122</v>
      </c>
    </row>
    <row r="2" spans="1:85">
      <c r="A2">
        <v>1.2021216807011501</v>
      </c>
      <c r="B2">
        <v>24.652843151515199</v>
      </c>
      <c r="C2">
        <v>121.258977384272</v>
      </c>
      <c r="D2">
        <v>4.4850897696466302E-2</v>
      </c>
      <c r="E2">
        <v>28.3070522505488</v>
      </c>
      <c r="F2">
        <v>85.832704568809504</v>
      </c>
      <c r="G2">
        <v>2.4131250905227302</v>
      </c>
      <c r="H2">
        <v>2.7964000000000002</v>
      </c>
      <c r="I2">
        <v>1115.33269904904</v>
      </c>
      <c r="J2">
        <v>-73.502664646464595</v>
      </c>
      <c r="K2">
        <v>0.35876222222222198</v>
      </c>
      <c r="L2">
        <v>120711.303030303</v>
      </c>
      <c r="M2">
        <v>297.80284848484899</v>
      </c>
      <c r="N2">
        <v>1.41215727272727</v>
      </c>
      <c r="O2">
        <v>214377.363636364</v>
      </c>
      <c r="P2">
        <v>299863.33333333302</v>
      </c>
      <c r="Q2">
        <v>287.05518181818201</v>
      </c>
      <c r="R2">
        <v>1.39053</v>
      </c>
      <c r="S2">
        <v>1022.1</v>
      </c>
      <c r="T2">
        <v>344.72533333333303</v>
      </c>
      <c r="U2">
        <v>6798.6436363636403</v>
      </c>
      <c r="V2">
        <v>0</v>
      </c>
      <c r="W2">
        <v>0</v>
      </c>
      <c r="X2">
        <v>1460038.48484849</v>
      </c>
      <c r="Y2">
        <v>857.30218181818202</v>
      </c>
      <c r="Z2">
        <v>5.9299475757575797</v>
      </c>
      <c r="AA2">
        <v>640704.84848484898</v>
      </c>
      <c r="AB2">
        <v>886793.24242424197</v>
      </c>
      <c r="AC2">
        <v>287.04978787878798</v>
      </c>
      <c r="AD2">
        <v>1.3482993939393899</v>
      </c>
      <c r="AE2">
        <v>1111.2193939393901</v>
      </c>
      <c r="AF2">
        <v>575.94984848484796</v>
      </c>
      <c r="AG2">
        <v>7193.52909090909</v>
      </c>
      <c r="AH2">
        <v>265.62554545454498</v>
      </c>
      <c r="AI2">
        <v>0.46123398929855502</v>
      </c>
      <c r="AJ2">
        <v>7761513.6363636404</v>
      </c>
      <c r="AK2">
        <v>1455.8872727272701</v>
      </c>
      <c r="AL2">
        <v>18.555215151515199</v>
      </c>
      <c r="AM2">
        <v>1169322.7272727301</v>
      </c>
      <c r="AN2">
        <v>1587223.63636364</v>
      </c>
      <c r="AO2">
        <v>287.041787878788</v>
      </c>
      <c r="AP2">
        <v>1.31232787878788</v>
      </c>
      <c r="AQ2">
        <v>1206.1009090909099</v>
      </c>
      <c r="AR2">
        <v>738.89115151515205</v>
      </c>
      <c r="AS2">
        <v>7331.2160606060597</v>
      </c>
      <c r="AT2">
        <v>0</v>
      </c>
      <c r="AU2">
        <v>0</v>
      </c>
      <c r="AV2">
        <v>8583270</v>
      </c>
      <c r="AW2">
        <v>1490.7475757575801</v>
      </c>
      <c r="AX2">
        <v>20.052533333333301</v>
      </c>
      <c r="AY2">
        <v>1201981.81818182</v>
      </c>
      <c r="AZ2">
        <v>1629883.33333333</v>
      </c>
      <c r="BA2">
        <v>287.03818181818201</v>
      </c>
      <c r="BB2">
        <v>1.31107484848485</v>
      </c>
      <c r="BC2">
        <v>1209.7824242424199</v>
      </c>
      <c r="BD2">
        <v>747.17278787878797</v>
      </c>
      <c r="BE2">
        <v>7331.2160606060597</v>
      </c>
      <c r="BF2">
        <v>0</v>
      </c>
      <c r="BG2">
        <v>0</v>
      </c>
      <c r="BH2">
        <v>4656798.4848484797</v>
      </c>
      <c r="BI2">
        <v>1289.6657575757599</v>
      </c>
      <c r="BJ2">
        <v>12.5751363636364</v>
      </c>
      <c r="BK2">
        <v>1016052.18181818</v>
      </c>
      <c r="BL2">
        <v>1386248.7878787899</v>
      </c>
      <c r="BM2">
        <v>287.04842424242401</v>
      </c>
      <c r="BN2">
        <v>1.3191175757575799</v>
      </c>
      <c r="BO2">
        <v>1186.5678787878801</v>
      </c>
      <c r="BP2">
        <v>698.01057575757602</v>
      </c>
      <c r="BQ2">
        <v>7331.2160606060597</v>
      </c>
      <c r="BR2">
        <v>698.00984848484904</v>
      </c>
      <c r="BS2">
        <v>0.99999900081971005</v>
      </c>
      <c r="BT2">
        <v>2057.89424242424</v>
      </c>
      <c r="BU2">
        <v>160.97445454545499</v>
      </c>
      <c r="BV2">
        <v>4.4528412121212099E-2</v>
      </c>
      <c r="BW2">
        <v>115879.57575757601</v>
      </c>
      <c r="BX2">
        <v>162086.15151515201</v>
      </c>
      <c r="BY2">
        <v>287.04290909090901</v>
      </c>
      <c r="BZ2">
        <v>1.3905099999999999</v>
      </c>
      <c r="CA2">
        <v>1022.0896969697</v>
      </c>
      <c r="CB2">
        <v>253.43260606060599</v>
      </c>
      <c r="CC2">
        <v>7331.2215151515202</v>
      </c>
      <c r="CD2">
        <v>1713.23454545455</v>
      </c>
      <c r="CE2">
        <v>6.7601212121212102</v>
      </c>
      <c r="CF2">
        <v>6955709.2984734802</v>
      </c>
      <c r="CG2">
        <v>1629883.05166667</v>
      </c>
    </row>
  </sheetData>
  <phoneticPr fontId="7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zoomScaleNormal="100" workbookViewId="0"/>
  </sheetViews>
  <sheetFormatPr baseColWidth="10" defaultColWidth="11.5703125" defaultRowHeight="18"/>
  <sheetData>
    <row r="1" spans="1:16">
      <c r="A1" s="2">
        <v>17.399999999999999</v>
      </c>
      <c r="B1" s="18">
        <v>2207.61</v>
      </c>
      <c r="C1" s="18">
        <v>165.25800000000001</v>
      </c>
      <c r="D1" s="18">
        <v>4.6538400000000001E-2</v>
      </c>
      <c r="E1" s="18">
        <v>118963</v>
      </c>
      <c r="F1" s="18">
        <v>166399</v>
      </c>
      <c r="G1" s="18">
        <v>287.04500000000002</v>
      </c>
      <c r="H1" s="18">
        <v>1.3905099999999999</v>
      </c>
      <c r="I1" s="18">
        <v>1022.09</v>
      </c>
      <c r="J1" s="18">
        <v>256.80099999999999</v>
      </c>
      <c r="K1" s="18">
        <v>7338.27</v>
      </c>
      <c r="L1" s="18">
        <v>1735.97</v>
      </c>
      <c r="M1" s="18">
        <v>6.7599799999999997</v>
      </c>
      <c r="N1" s="86">
        <f t="shared" ref="N1:N6" si="0">D1*L1/(0.00001716*(C1/273)^1.5*(273+111)/(C1+111))</f>
        <v>7191512.6887469804</v>
      </c>
      <c r="O1" s="86">
        <f t="shared" ref="O1:O6" si="1">F1+0.5*L1^2</f>
        <v>1673194.9204500001</v>
      </c>
      <c r="P1" s="64" t="s">
        <v>225</v>
      </c>
    </row>
    <row r="2" spans="1:16">
      <c r="A2" s="2">
        <v>19.399999999999999</v>
      </c>
      <c r="B2" s="18">
        <v>2153.42</v>
      </c>
      <c r="C2" s="18">
        <v>162.672</v>
      </c>
      <c r="D2" s="18">
        <v>4.6117600000000002E-2</v>
      </c>
      <c r="E2" s="18">
        <v>117102</v>
      </c>
      <c r="F2" s="18">
        <v>163796</v>
      </c>
      <c r="G2" s="18">
        <v>287.04399999999998</v>
      </c>
      <c r="H2" s="18">
        <v>1.3905099999999999</v>
      </c>
      <c r="I2" s="18">
        <v>1022.09</v>
      </c>
      <c r="J2" s="18">
        <v>254.78399999999999</v>
      </c>
      <c r="K2" s="18">
        <v>7329.09</v>
      </c>
      <c r="L2" s="18">
        <v>1722.31</v>
      </c>
      <c r="M2" s="18">
        <v>6.7598700000000003</v>
      </c>
      <c r="N2" s="86">
        <f t="shared" si="0"/>
        <v>7171906.8580458183</v>
      </c>
      <c r="O2" s="86">
        <f t="shared" si="1"/>
        <v>1646971.8680499999</v>
      </c>
      <c r="P2" s="64" t="s">
        <v>242</v>
      </c>
    </row>
    <row r="3" spans="1:16">
      <c r="A3" s="2">
        <v>19</v>
      </c>
      <c r="B3" s="77">
        <v>1449.63</v>
      </c>
      <c r="C3" s="77">
        <v>122.77</v>
      </c>
      <c r="D3" s="77">
        <f>B3/C3/G3</f>
        <v>4.1136327506740775E-2</v>
      </c>
      <c r="E3" s="77">
        <v>88377.9</v>
      </c>
      <c r="F3" s="77">
        <v>123618</v>
      </c>
      <c r="G3" s="77">
        <v>287.03800000000001</v>
      </c>
      <c r="H3" s="77">
        <v>1.3905000000000001</v>
      </c>
      <c r="I3" s="77">
        <v>1022.08</v>
      </c>
      <c r="J3" s="77">
        <v>221.34100000000001</v>
      </c>
      <c r="K3" s="77">
        <v>7151.98</v>
      </c>
      <c r="L3" s="77">
        <v>1496.38</v>
      </c>
      <c r="M3" s="77">
        <v>6.7604899999999999</v>
      </c>
      <c r="N3" s="78">
        <f t="shared" si="0"/>
        <v>7241245.4341202565</v>
      </c>
      <c r="O3" s="78">
        <f t="shared" si="1"/>
        <v>1243194.5522000003</v>
      </c>
      <c r="P3" s="79" t="s">
        <v>257</v>
      </c>
    </row>
    <row r="4" spans="1:16">
      <c r="A4" s="2">
        <v>19</v>
      </c>
      <c r="B4" s="18">
        <v>839.56700000000001</v>
      </c>
      <c r="C4" s="18">
        <v>87.597700000000003</v>
      </c>
      <c r="D4" s="18">
        <v>3.33923E-2</v>
      </c>
      <c r="E4" s="18">
        <v>63058.3</v>
      </c>
      <c r="F4" s="18">
        <v>88200.9</v>
      </c>
      <c r="G4" s="18">
        <v>287.02300000000002</v>
      </c>
      <c r="H4" s="18">
        <v>1.3904799999999999</v>
      </c>
      <c r="I4" s="18">
        <v>1022.07</v>
      </c>
      <c r="J4" s="18">
        <v>186.965</v>
      </c>
      <c r="K4" s="18">
        <v>6961.27</v>
      </c>
      <c r="L4" s="18">
        <v>1263.83</v>
      </c>
      <c r="M4" s="18">
        <v>6.7597199999999997</v>
      </c>
      <c r="N4" s="86">
        <f t="shared" si="0"/>
        <v>6997865.9008299625</v>
      </c>
      <c r="O4" s="129">
        <f t="shared" si="1"/>
        <v>886834.03444999992</v>
      </c>
      <c r="P4" s="64" t="s">
        <v>258</v>
      </c>
    </row>
    <row r="5" spans="1:16">
      <c r="A5" s="2">
        <v>17.7</v>
      </c>
      <c r="B5" s="77">
        <v>850.06399999999996</v>
      </c>
      <c r="C5" s="77">
        <v>87.638900000000007</v>
      </c>
      <c r="D5" s="77">
        <f>B5/C5/G5</f>
        <v>3.3793758324844436E-2</v>
      </c>
      <c r="E5" s="77">
        <v>63088</v>
      </c>
      <c r="F5" s="77">
        <v>88242.4</v>
      </c>
      <c r="G5" s="77">
        <v>287.024</v>
      </c>
      <c r="H5" s="77">
        <v>1.3904799999999999</v>
      </c>
      <c r="I5" s="77">
        <v>1022.07</v>
      </c>
      <c r="J5" s="77">
        <v>187.00899999999999</v>
      </c>
      <c r="K5" s="77">
        <v>6958.1</v>
      </c>
      <c r="L5" s="77">
        <v>1264.26</v>
      </c>
      <c r="M5" s="77">
        <v>6.7604100000000003</v>
      </c>
      <c r="N5" s="78">
        <f t="shared" si="0"/>
        <v>7080880.7236921228</v>
      </c>
      <c r="O5" s="130">
        <f t="shared" si="1"/>
        <v>887419.07380000001</v>
      </c>
      <c r="P5" s="79" t="s">
        <v>261</v>
      </c>
    </row>
    <row r="6" spans="1:16">
      <c r="A6" s="2">
        <v>20.100000000000001</v>
      </c>
      <c r="B6" s="18">
        <v>1540.1</v>
      </c>
      <c r="C6" s="18">
        <v>130.553</v>
      </c>
      <c r="D6" s="18">
        <v>4.1098099999999999E-2</v>
      </c>
      <c r="E6" s="18">
        <v>93980.4</v>
      </c>
      <c r="F6" s="18">
        <v>131454</v>
      </c>
      <c r="G6" s="18">
        <v>287.03800000000001</v>
      </c>
      <c r="H6" s="18">
        <v>1.3905000000000001</v>
      </c>
      <c r="I6" s="18">
        <v>1022.08</v>
      </c>
      <c r="J6" s="18">
        <v>228.249</v>
      </c>
      <c r="K6" s="18">
        <v>7198.17</v>
      </c>
      <c r="L6" s="18">
        <v>1542.97</v>
      </c>
      <c r="M6" s="18">
        <v>6.7600199999999999</v>
      </c>
      <c r="N6" s="86">
        <f t="shared" si="0"/>
        <v>7029215.2245670846</v>
      </c>
      <c r="O6" s="86">
        <f t="shared" si="1"/>
        <v>1321832.2104500001</v>
      </c>
      <c r="P6" s="64" t="s">
        <v>263</v>
      </c>
    </row>
  </sheetData>
  <phoneticPr fontId="7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허정무</dc:creator>
  <dc:description/>
  <cp:lastModifiedBy>염경민</cp:lastModifiedBy>
  <cp:revision>8</cp:revision>
  <dcterms:created xsi:type="dcterms:W3CDTF">2024-08-19T08:00:38Z</dcterms:created>
  <dcterms:modified xsi:type="dcterms:W3CDTF">2026-02-06T05:15:34Z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