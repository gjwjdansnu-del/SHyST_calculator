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l/Downloads/coding/SHyST_calculator/"/>
    </mc:Choice>
  </mc:AlternateContent>
  <xr:revisionPtr revIDLastSave="0" documentId="13_ncr:1_{23287973-9D0E-C44B-BE9C-82698D8A85A7}" xr6:coauthVersionLast="47" xr6:coauthVersionMax="47" xr10:uidLastSave="{00000000-0000-0000-0000-000000000000}"/>
  <bookViews>
    <workbookView xWindow="0" yWindow="680" windowWidth="30240" windowHeight="18960" xr2:uid="{422AAB00-A32A-8746-A744-5842C32067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" i="1" l="1"/>
  <c r="E67" i="1"/>
  <c r="E66" i="1"/>
  <c r="E52" i="1"/>
  <c r="E51" i="1"/>
  <c r="E50" i="1"/>
</calcChain>
</file>

<file path=xl/sharedStrings.xml><?xml version="1.0" encoding="utf-8"?>
<sst xmlns="http://schemas.openxmlformats.org/spreadsheetml/2006/main" count="656" uniqueCount="124">
  <si>
    <t>구매일자</t>
    <phoneticPr fontId="4" type="noConversion"/>
  </si>
  <si>
    <t>용도</t>
    <phoneticPr fontId="4" type="noConversion"/>
  </si>
  <si>
    <t>센서명</t>
    <phoneticPr fontId="4" type="noConversion"/>
  </si>
  <si>
    <r>
      <rPr>
        <sz val="12"/>
        <color theme="1"/>
        <rFont val="Malgun Gothic"/>
        <family val="2"/>
        <charset val="129"/>
      </rPr>
      <t>시리얼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번호</t>
    </r>
    <phoneticPr fontId="4" type="noConversion"/>
  </si>
  <si>
    <t>a(bar/V)</t>
    <phoneticPr fontId="4" type="noConversion"/>
  </si>
  <si>
    <t>b(bar)</t>
    <phoneticPr fontId="4" type="noConversion"/>
  </si>
  <si>
    <t>계산식</t>
    <phoneticPr fontId="4" type="noConversion"/>
  </si>
  <si>
    <t>250626 현재 위치</t>
    <phoneticPr fontId="4" type="noConversion"/>
  </si>
  <si>
    <t>250709 현재 위치</t>
    <phoneticPr fontId="4" type="noConversion"/>
  </si>
  <si>
    <t>250723 현재 위치</t>
    <phoneticPr fontId="4" type="noConversion"/>
  </si>
  <si>
    <t>251001 현재 위치</t>
    <phoneticPr fontId="4" type="noConversion"/>
  </si>
  <si>
    <t>260113 현재 위치</t>
    <phoneticPr fontId="4" type="noConversion"/>
  </si>
  <si>
    <t>비고</t>
    <phoneticPr fontId="4" type="noConversion"/>
  </si>
  <si>
    <r>
      <rPr>
        <sz val="12"/>
        <color theme="1"/>
        <rFont val="Malgun Gothic"/>
        <family val="2"/>
        <charset val="129"/>
      </rPr>
      <t>센서콘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온도측정</t>
    </r>
    <phoneticPr fontId="4" type="noConversion"/>
  </si>
  <si>
    <t>Medtherm Coaxial Thermocouple</t>
  </si>
  <si>
    <t>type E</t>
    <phoneticPr fontId="4" type="noConversion"/>
  </si>
  <si>
    <r>
      <rPr>
        <sz val="12"/>
        <color theme="1"/>
        <rFont val="Malgun Gothic"/>
        <family val="2"/>
        <charset val="129"/>
      </rPr>
      <t>센서콘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Malgun Gothic"/>
        <family val="2"/>
        <charset val="129"/>
      </rPr>
      <t>상단</t>
    </r>
    <r>
      <rPr>
        <sz val="12"/>
        <color theme="1"/>
        <rFont val="맑은 고딕"/>
        <family val="2"/>
        <charset val="129"/>
        <scheme val="minor"/>
      </rPr>
      <t xml:space="preserve"> UH 10</t>
    </r>
    <phoneticPr fontId="4" type="noConversion"/>
  </si>
  <si>
    <r>
      <t>반반콘</t>
    </r>
    <r>
      <rPr>
        <sz val="12"/>
        <color theme="1"/>
        <rFont val="맑은 고딕"/>
        <family val="3"/>
        <charset val="129"/>
      </rPr>
      <t xml:space="preserve"> ST8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</si>
  <si>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12"/>
        <color theme="1"/>
        <rFont val="Malgun Gothic"/>
        <family val="2"/>
        <charset val="129"/>
      </rPr>
      <t>센서콘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Malgun Gothic"/>
        <family val="2"/>
        <charset val="129"/>
      </rPr>
      <t>상단</t>
    </r>
    <r>
      <rPr>
        <sz val="12"/>
        <color theme="1"/>
        <rFont val="맑은 고딕"/>
        <family val="2"/>
        <charset val="129"/>
        <scheme val="minor"/>
      </rPr>
      <t xml:space="preserve"> UH 8</t>
    </r>
    <phoneticPr fontId="4" type="noConversion"/>
  </si>
  <si>
    <t>센서통</t>
    <phoneticPr fontId="3" type="noConversion"/>
  </si>
  <si>
    <r>
      <t>염경민</t>
    </r>
    <r>
      <rPr>
        <sz val="12"/>
        <color theme="1"/>
        <rFont val="맑은 고딕"/>
        <family val="2"/>
        <charset val="129"/>
      </rPr>
      <t xml:space="preserve"> 반구</t>
    </r>
    <phoneticPr fontId="4" type="noConversion"/>
  </si>
  <si>
    <t>고장</t>
    <phoneticPr fontId="4" type="noConversion"/>
  </si>
  <si>
    <r>
      <rPr>
        <sz val="12"/>
        <color theme="1"/>
        <rFont val="Malgun Gothic"/>
        <family val="2"/>
        <charset val="129"/>
      </rPr>
      <t>센서콘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Malgun Gothic"/>
        <family val="2"/>
        <charset val="129"/>
      </rPr>
      <t>상단</t>
    </r>
    <r>
      <rPr>
        <sz val="12"/>
        <color theme="1"/>
        <rFont val="맑은 고딕"/>
        <family val="2"/>
        <charset val="129"/>
        <scheme val="minor"/>
      </rPr>
      <t xml:space="preserve"> UH 6</t>
    </r>
    <phoneticPr fontId="4" type="noConversion"/>
  </si>
  <si>
    <r>
      <t>반반콘</t>
    </r>
    <r>
      <rPr>
        <sz val="12"/>
        <color theme="1"/>
        <rFont val="맑은 고딕"/>
        <family val="3"/>
        <charset val="129"/>
      </rPr>
      <t xml:space="preserve"> ST7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</si>
  <si>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12"/>
        <color theme="1"/>
        <rFont val="Malgun Gothic"/>
        <family val="2"/>
        <charset val="129"/>
      </rPr>
      <t>센서콘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Malgun Gothic"/>
        <family val="2"/>
        <charset val="129"/>
      </rPr>
      <t>상단</t>
    </r>
    <r>
      <rPr>
        <sz val="12"/>
        <color theme="1"/>
        <rFont val="맑은 고딕"/>
        <family val="2"/>
        <charset val="129"/>
        <scheme val="minor"/>
      </rPr>
      <t xml:space="preserve"> UH 2</t>
    </r>
    <phoneticPr fontId="4" type="noConversion"/>
  </si>
  <si>
    <r>
      <t>반반콘</t>
    </r>
    <r>
      <rPr>
        <sz val="12"/>
        <color theme="1"/>
        <rFont val="맑은 고딕"/>
        <family val="3"/>
        <charset val="129"/>
      </rPr>
      <t xml:space="preserve"> PT7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</si>
  <si>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12"/>
        <color theme="1"/>
        <rFont val="Malgun Gothic"/>
        <family val="2"/>
        <charset val="129"/>
      </rPr>
      <t>센서콘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Malgun Gothic"/>
        <family val="2"/>
        <charset val="129"/>
      </rPr>
      <t>상단</t>
    </r>
    <r>
      <rPr>
        <sz val="12"/>
        <color theme="1"/>
        <rFont val="맑은 고딕"/>
        <family val="2"/>
        <charset val="129"/>
        <scheme val="minor"/>
      </rPr>
      <t xml:space="preserve"> UH 4</t>
    </r>
    <phoneticPr fontId="4" type="noConversion"/>
  </si>
  <si>
    <r>
      <t>반반콘</t>
    </r>
    <r>
      <rPr>
        <sz val="12"/>
        <color theme="1"/>
        <rFont val="맑은 고딕"/>
        <family val="3"/>
        <charset val="129"/>
      </rPr>
      <t xml:space="preserve"> PT8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</si>
  <si>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12"/>
        <color theme="1"/>
        <rFont val="Malgun Gothic"/>
        <family val="2"/>
        <charset val="129"/>
      </rPr>
      <t>반반콘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온도측정</t>
    </r>
    <phoneticPr fontId="4" type="noConversion"/>
  </si>
  <si>
    <r>
      <t>반반콘</t>
    </r>
    <r>
      <rPr>
        <sz val="12"/>
        <color theme="1"/>
        <rFont val="맑은 고딕"/>
        <family val="3"/>
        <charset val="129"/>
      </rPr>
      <t xml:space="preserve"> PT1</t>
    </r>
    <phoneticPr fontId="4" type="noConversion"/>
  </si>
  <si>
    <r>
      <t>반반콘</t>
    </r>
    <r>
      <rPr>
        <sz val="12"/>
        <color theme="1"/>
        <rFont val="맑은 고딕"/>
        <family val="3"/>
        <charset val="129"/>
      </rPr>
      <t xml:space="preserve"> PT2</t>
    </r>
    <r>
      <rPr>
        <sz val="11"/>
        <color theme="1"/>
        <rFont val="맑은 고딕"/>
        <family val="2"/>
        <charset val="129"/>
        <scheme val="minor"/>
      </rPr>
      <t/>
    </r>
  </si>
  <si>
    <r>
      <t>반반콘</t>
    </r>
    <r>
      <rPr>
        <sz val="12"/>
        <color theme="1"/>
        <rFont val="맑은 고딕"/>
        <family val="3"/>
        <charset val="129"/>
      </rPr>
      <t xml:space="preserve"> PT3</t>
    </r>
    <r>
      <rPr>
        <sz val="11"/>
        <color theme="1"/>
        <rFont val="맑은 고딕"/>
        <family val="2"/>
        <charset val="129"/>
        <scheme val="minor"/>
      </rPr>
      <t/>
    </r>
  </si>
  <si>
    <r>
      <t>반반콘</t>
    </r>
    <r>
      <rPr>
        <sz val="12"/>
        <color theme="1"/>
        <rFont val="맑은 고딕"/>
        <family val="3"/>
        <charset val="129"/>
      </rPr>
      <t xml:space="preserve"> PT4</t>
    </r>
    <r>
      <rPr>
        <sz val="11"/>
        <color theme="1"/>
        <rFont val="맑은 고딕"/>
        <family val="2"/>
        <charset val="129"/>
        <scheme val="minor"/>
      </rPr>
      <t/>
    </r>
  </si>
  <si>
    <r>
      <t>반반콘</t>
    </r>
    <r>
      <rPr>
        <sz val="12"/>
        <color theme="1"/>
        <rFont val="맑은 고딕"/>
        <family val="3"/>
        <charset val="129"/>
      </rPr>
      <t xml:space="preserve"> PT5</t>
    </r>
    <r>
      <rPr>
        <sz val="11"/>
        <color theme="1"/>
        <rFont val="맑은 고딕"/>
        <family val="2"/>
        <charset val="129"/>
        <scheme val="minor"/>
      </rPr>
      <t/>
    </r>
  </si>
  <si>
    <r>
      <t>반반콘</t>
    </r>
    <r>
      <rPr>
        <sz val="12"/>
        <color theme="1"/>
        <rFont val="맑은 고딕"/>
        <family val="3"/>
        <charset val="129"/>
      </rPr>
      <t xml:space="preserve"> PT6</t>
    </r>
    <r>
      <rPr>
        <sz val="11"/>
        <color theme="1"/>
        <rFont val="맑은 고딕"/>
        <family val="2"/>
        <charset val="129"/>
        <scheme val="minor"/>
      </rPr>
      <t/>
    </r>
  </si>
  <si>
    <r>
      <t>반반콘</t>
    </r>
    <r>
      <rPr>
        <sz val="12"/>
        <color theme="1"/>
        <rFont val="맑은 고딕"/>
        <family val="3"/>
        <charset val="129"/>
      </rPr>
      <t xml:space="preserve"> ST1</t>
    </r>
    <phoneticPr fontId="4" type="noConversion"/>
  </si>
  <si>
    <r>
      <t>반반콘</t>
    </r>
    <r>
      <rPr>
        <sz val="12"/>
        <color theme="1"/>
        <rFont val="맑은 고딕"/>
        <family val="3"/>
        <charset val="129"/>
      </rPr>
      <t xml:space="preserve"> ST2</t>
    </r>
    <r>
      <rPr>
        <sz val="11"/>
        <color theme="1"/>
        <rFont val="맑은 고딕"/>
        <family val="2"/>
        <charset val="129"/>
        <scheme val="minor"/>
      </rPr>
      <t/>
    </r>
  </si>
  <si>
    <r>
      <t>반반콘</t>
    </r>
    <r>
      <rPr>
        <sz val="12"/>
        <color theme="1"/>
        <rFont val="맑은 고딕"/>
        <family val="3"/>
        <charset val="129"/>
      </rPr>
      <t xml:space="preserve"> ST3</t>
    </r>
    <r>
      <rPr>
        <sz val="11"/>
        <color theme="1"/>
        <rFont val="맑은 고딕"/>
        <family val="2"/>
        <charset val="129"/>
        <scheme val="minor"/>
      </rPr>
      <t/>
    </r>
  </si>
  <si>
    <r>
      <t>더블콘(임시</t>
    </r>
    <r>
      <rPr>
        <sz val="12"/>
        <color theme="1"/>
        <rFont val="맑은 고딕"/>
        <family val="2"/>
        <charset val="129"/>
      </rPr>
      <t xml:space="preserve"> 배정)</t>
    </r>
    <phoneticPr fontId="4" type="noConversion"/>
  </si>
  <si>
    <r>
      <t>반반콘</t>
    </r>
    <r>
      <rPr>
        <sz val="12"/>
        <color theme="1"/>
        <rFont val="맑은 고딕"/>
        <family val="3"/>
        <charset val="129"/>
      </rPr>
      <t xml:space="preserve"> ST4</t>
    </r>
    <r>
      <rPr>
        <sz val="11"/>
        <color theme="1"/>
        <rFont val="맑은 고딕"/>
        <family val="2"/>
        <charset val="129"/>
        <scheme val="minor"/>
      </rPr>
      <t/>
    </r>
  </si>
  <si>
    <r>
      <t>반반콘</t>
    </r>
    <r>
      <rPr>
        <sz val="12"/>
        <color theme="1"/>
        <rFont val="맑은 고딕"/>
        <family val="3"/>
        <charset val="129"/>
      </rPr>
      <t xml:space="preserve"> ST5</t>
    </r>
    <r>
      <rPr>
        <sz val="11"/>
        <color theme="1"/>
        <rFont val="맑은 고딕"/>
        <family val="2"/>
        <charset val="129"/>
        <scheme val="minor"/>
      </rPr>
      <t/>
    </r>
  </si>
  <si>
    <r>
      <t>반반콘</t>
    </r>
    <r>
      <rPr>
        <sz val="12"/>
        <color theme="1"/>
        <rFont val="맑은 고딕"/>
        <family val="3"/>
        <charset val="129"/>
      </rPr>
      <t xml:space="preserve"> ST6</t>
    </r>
    <r>
      <rPr>
        <sz val="11"/>
        <color theme="1"/>
        <rFont val="맑은 고딕"/>
        <family val="2"/>
        <charset val="129"/>
        <scheme val="minor"/>
      </rPr>
      <t/>
    </r>
  </si>
  <si>
    <t>압력 측정</t>
    <phoneticPr fontId="3" type="noConversion"/>
  </si>
  <si>
    <t>PCB 113B24</t>
    <phoneticPr fontId="4" type="noConversion"/>
  </si>
  <si>
    <t>?</t>
    <phoneticPr fontId="3" type="noConversion"/>
  </si>
  <si>
    <t>가속도 측정</t>
    <phoneticPr fontId="3" type="noConversion"/>
  </si>
  <si>
    <t>PCB 353B04</t>
    <phoneticPr fontId="4" type="noConversion"/>
  </si>
  <si>
    <t>reddy 드리븐 동압 측정</t>
    <phoneticPr fontId="3" type="noConversion"/>
  </si>
  <si>
    <t>ETM-375-500A</t>
    <phoneticPr fontId="3" type="noConversion"/>
  </si>
  <si>
    <t>6082-4-35</t>
    <phoneticPr fontId="3" type="noConversion"/>
  </si>
  <si>
    <t>reddy 7</t>
    <phoneticPr fontId="3" type="noConversion"/>
  </si>
  <si>
    <t>6249-11-391</t>
    <phoneticPr fontId="3" type="noConversion"/>
  </si>
  <si>
    <t>reddy 8</t>
    <phoneticPr fontId="3" type="noConversion"/>
  </si>
  <si>
    <t>ETM-HT-375-2500A</t>
    <phoneticPr fontId="3" type="noConversion"/>
  </si>
  <si>
    <t>7360-9-7</t>
    <phoneticPr fontId="3" type="noConversion"/>
  </si>
  <si>
    <t>7360-9-9</t>
    <phoneticPr fontId="3" type="noConversion"/>
  </si>
  <si>
    <t>휘어짐</t>
    <phoneticPr fontId="3" type="noConversion"/>
  </si>
  <si>
    <r>
      <rPr>
        <sz val="12"/>
        <color theme="1"/>
        <rFont val="Malgun Gothic"/>
        <family val="2"/>
        <charset val="129"/>
      </rPr>
      <t>드리븐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동압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측정</t>
    </r>
    <phoneticPr fontId="4" type="noConversion"/>
  </si>
  <si>
    <t>PCB 113B22</t>
    <phoneticPr fontId="4" type="noConversion"/>
  </si>
  <si>
    <t>p=p_atm+a*V+b</t>
    <phoneticPr fontId="4" type="noConversion"/>
  </si>
  <si>
    <t>driven 7</t>
    <phoneticPr fontId="4" type="noConversion"/>
  </si>
  <si>
    <t>driven 6</t>
    <phoneticPr fontId="4" type="noConversion"/>
  </si>
  <si>
    <r>
      <rPr>
        <sz val="12"/>
        <color theme="1"/>
        <rFont val="Malgun Gothic"/>
        <family val="2"/>
        <charset val="129"/>
      </rPr>
      <t>250626 전에</t>
    </r>
    <r>
      <rPr>
        <sz val="12"/>
        <color theme="1"/>
        <rFont val="Calibri"/>
        <family val="2"/>
      </rPr>
      <t xml:space="preserve"> driven8</t>
    </r>
    <r>
      <rPr>
        <sz val="12"/>
        <color theme="1"/>
        <rFont val="Malgun Gothic"/>
        <family val="2"/>
        <charset val="129"/>
      </rPr>
      <t>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꽂혀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있던건데</t>
    </r>
    <r>
      <rPr>
        <sz val="12"/>
        <color theme="1"/>
        <rFont val="Calibri"/>
        <family val="2"/>
      </rPr>
      <t xml:space="preserve"> 6</t>
    </r>
    <r>
      <rPr>
        <sz val="12"/>
        <color theme="1"/>
        <rFont val="Malgun Gothic"/>
        <family val="2"/>
        <charset val="129"/>
      </rPr>
      <t>으로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옮김</t>
    </r>
    <phoneticPr fontId="4" type="noConversion"/>
  </si>
  <si>
    <r>
      <rPr>
        <sz val="12"/>
        <color theme="1"/>
        <rFont val="Malgun Gothic"/>
        <family val="2"/>
        <charset val="129"/>
      </rPr>
      <t>영두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Malgun Gothic"/>
        <family val="2"/>
        <charset val="129"/>
      </rPr>
      <t>수소자연발화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Malgun Gothic"/>
        <family val="2"/>
        <charset val="129"/>
      </rPr>
      <t>실험장치</t>
    </r>
    <phoneticPr fontId="3" type="noConversion"/>
  </si>
  <si>
    <t>driven 1</t>
    <phoneticPr fontId="4" type="noConversion"/>
  </si>
  <si>
    <t>driven 8</t>
    <phoneticPr fontId="4" type="noConversion"/>
  </si>
  <si>
    <r>
      <rPr>
        <sz val="12"/>
        <color theme="1"/>
        <rFont val="Malgun Gothic"/>
        <family val="2"/>
        <charset val="129"/>
      </rPr>
      <t>250626 전에</t>
    </r>
    <r>
      <rPr>
        <sz val="12"/>
        <color theme="1"/>
        <rFont val="Calibri"/>
        <family val="2"/>
      </rPr>
      <t xml:space="preserve"> driven6</t>
    </r>
    <r>
      <rPr>
        <sz val="12"/>
        <color theme="1"/>
        <rFont val="Malgun Gothic"/>
        <family val="2"/>
        <charset val="129"/>
      </rPr>
      <t>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꽂혀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있던건데</t>
    </r>
    <r>
      <rPr>
        <sz val="12"/>
        <color theme="1"/>
        <rFont val="Calibri"/>
        <family val="2"/>
      </rPr>
      <t xml:space="preserve"> 8</t>
    </r>
    <r>
      <rPr>
        <sz val="12"/>
        <color theme="1"/>
        <rFont val="Malgun Gothic"/>
        <family val="2"/>
        <charset val="129"/>
      </rPr>
      <t>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옮김</t>
    </r>
    <phoneticPr fontId="4" type="noConversion"/>
  </si>
  <si>
    <r>
      <rPr>
        <sz val="12"/>
        <color theme="1"/>
        <rFont val="Malgun Gothic"/>
        <family val="2"/>
        <charset val="129"/>
      </rPr>
      <t>드라이버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정압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측정</t>
    </r>
    <phoneticPr fontId="4" type="noConversion"/>
  </si>
  <si>
    <t>Sensys PMHD0300BDPA-FC</t>
    <phoneticPr fontId="4" type="noConversion"/>
  </si>
  <si>
    <t>X6B840</t>
    <phoneticPr fontId="4" type="noConversion"/>
  </si>
  <si>
    <t>driver 1</t>
    <phoneticPr fontId="3" type="noConversion"/>
  </si>
  <si>
    <t>피토레이크 피토압 측정</t>
    <phoneticPr fontId="4" type="noConversion"/>
  </si>
  <si>
    <t>PCB 113B27</t>
    <phoneticPr fontId="4" type="noConversion"/>
  </si>
  <si>
    <r>
      <rPr>
        <sz val="12"/>
        <color theme="1"/>
        <rFont val="Malgun Gothic"/>
        <family val="2"/>
      </rPr>
      <t>피톳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Malgun Gothic"/>
        <family val="2"/>
      </rPr>
      <t>중심</t>
    </r>
    <r>
      <rPr>
        <sz val="12"/>
        <color theme="1"/>
        <rFont val="맑은 고딕"/>
        <family val="2"/>
        <scheme val="minor"/>
      </rPr>
      <t xml:space="preserve"> +6</t>
    </r>
    <phoneticPr fontId="4" type="noConversion"/>
  </si>
  <si>
    <r>
      <rPr>
        <sz val="12"/>
        <color theme="1"/>
        <rFont val="Malgun Gothic"/>
        <family val="2"/>
      </rPr>
      <t>피톳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Malgun Gothic"/>
        <family val="2"/>
      </rPr>
      <t>중심</t>
    </r>
    <r>
      <rPr>
        <sz val="12"/>
        <color theme="1"/>
        <rFont val="맑은 고딕"/>
        <family val="2"/>
        <scheme val="minor"/>
      </rPr>
      <t xml:space="preserve"> -2</t>
    </r>
    <phoneticPr fontId="4" type="noConversion"/>
  </si>
  <si>
    <r>
      <rPr>
        <sz val="12"/>
        <color theme="1"/>
        <rFont val="Malgun Gothic"/>
        <family val="2"/>
      </rPr>
      <t>피톳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Malgun Gothic"/>
        <family val="2"/>
      </rPr>
      <t>중심</t>
    </r>
    <r>
      <rPr>
        <sz val="12"/>
        <color theme="1"/>
        <rFont val="맑은 고딕"/>
        <family val="2"/>
        <scheme val="minor"/>
      </rPr>
      <t xml:space="preserve"> -3</t>
    </r>
    <phoneticPr fontId="4" type="noConversion"/>
  </si>
  <si>
    <r>
      <rPr>
        <sz val="12"/>
        <color theme="1"/>
        <rFont val="Malgun Gothic"/>
        <family val="2"/>
      </rPr>
      <t>피톳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Malgun Gothic"/>
        <family val="2"/>
      </rPr>
      <t>중심</t>
    </r>
    <r>
      <rPr>
        <sz val="12"/>
        <color theme="1"/>
        <rFont val="맑은 고딕"/>
        <family val="2"/>
        <scheme val="minor"/>
      </rPr>
      <t xml:space="preserve"> +2</t>
    </r>
    <phoneticPr fontId="4" type="noConversion"/>
  </si>
  <si>
    <t>원래 피토 중심 +4에 꽂았다가 값이 튀어서 57777과 교체됨</t>
    <phoneticPr fontId="3" type="noConversion"/>
  </si>
  <si>
    <r>
      <rPr>
        <sz val="12"/>
        <color theme="1"/>
        <rFont val="Malgun Gothic"/>
        <family val="2"/>
      </rPr>
      <t>피톳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Malgun Gothic"/>
        <family val="2"/>
      </rPr>
      <t>중심</t>
    </r>
    <r>
      <rPr>
        <sz val="12"/>
        <color theme="1"/>
        <rFont val="맑은 고딕"/>
        <family val="2"/>
        <scheme val="minor"/>
      </rPr>
      <t xml:space="preserve"> +1</t>
    </r>
    <phoneticPr fontId="4" type="noConversion"/>
  </si>
  <si>
    <r>
      <rPr>
        <sz val="12"/>
        <color theme="1"/>
        <rFont val="Malgun Gothic"/>
        <family val="2"/>
      </rPr>
      <t>피톳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Malgun Gothic"/>
        <family val="2"/>
      </rPr>
      <t>중심</t>
    </r>
    <r>
      <rPr>
        <sz val="12"/>
        <color theme="1"/>
        <rFont val="맑은 고딕"/>
        <family val="2"/>
        <scheme val="minor"/>
      </rPr>
      <t xml:space="preserve"> +5</t>
    </r>
    <phoneticPr fontId="4" type="noConversion"/>
  </si>
  <si>
    <r>
      <rPr>
        <sz val="12"/>
        <color theme="1"/>
        <rFont val="Malgun Gothic"/>
        <family val="2"/>
      </rPr>
      <t>피톳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Malgun Gothic"/>
        <family val="2"/>
      </rPr>
      <t>중심</t>
    </r>
    <r>
      <rPr>
        <sz val="12"/>
        <color theme="1"/>
        <rFont val="맑은 고딕"/>
        <family val="2"/>
        <scheme val="minor"/>
      </rPr>
      <t xml:space="preserve"> -1</t>
    </r>
    <phoneticPr fontId="4" type="noConversion"/>
  </si>
  <si>
    <r>
      <rPr>
        <sz val="12"/>
        <color theme="1"/>
        <rFont val="Malgun Gothic"/>
        <family val="2"/>
      </rPr>
      <t>피톳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Malgun Gothic"/>
        <family val="2"/>
      </rPr>
      <t>중심</t>
    </r>
    <r>
      <rPr>
        <sz val="12"/>
        <color theme="1"/>
        <rFont val="맑은 고딕"/>
        <family val="2"/>
        <scheme val="minor"/>
      </rPr>
      <t xml:space="preserve"> -5</t>
    </r>
    <phoneticPr fontId="4" type="noConversion"/>
  </si>
  <si>
    <t>피톳 중심</t>
    <phoneticPr fontId="4" type="noConversion"/>
  </si>
  <si>
    <r>
      <rPr>
        <sz val="12"/>
        <color theme="1"/>
        <rFont val="Malgun Gothic"/>
        <family val="2"/>
      </rPr>
      <t>피톳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Malgun Gothic"/>
        <family val="2"/>
      </rPr>
      <t>중심</t>
    </r>
    <r>
      <rPr>
        <sz val="12"/>
        <color theme="1"/>
        <rFont val="맑은 고딕"/>
        <family val="2"/>
        <scheme val="minor"/>
      </rPr>
      <t xml:space="preserve"> +4</t>
    </r>
    <phoneticPr fontId="4" type="noConversion"/>
  </si>
  <si>
    <r>
      <rPr>
        <sz val="12"/>
        <color theme="1"/>
        <rFont val="Malgun Gothic"/>
        <family val="2"/>
      </rPr>
      <t>피톳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Malgun Gothic"/>
        <family val="2"/>
      </rPr>
      <t>중심</t>
    </r>
    <r>
      <rPr>
        <sz val="12"/>
        <color theme="1"/>
        <rFont val="맑은 고딕"/>
        <family val="2"/>
        <scheme val="minor"/>
      </rPr>
      <t xml:space="preserve"> +3</t>
    </r>
    <phoneticPr fontId="4" type="noConversion"/>
  </si>
  <si>
    <r>
      <rPr>
        <sz val="12"/>
        <color theme="1"/>
        <rFont val="Malgun Gothic"/>
        <family val="2"/>
      </rPr>
      <t>피톳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Malgun Gothic"/>
        <family val="2"/>
      </rPr>
      <t>중심</t>
    </r>
    <r>
      <rPr>
        <sz val="12"/>
        <color theme="1"/>
        <rFont val="맑은 고딕"/>
        <family val="2"/>
        <scheme val="minor"/>
      </rPr>
      <t xml:space="preserve"> -4</t>
    </r>
    <phoneticPr fontId="4" type="noConversion"/>
  </si>
  <si>
    <r>
      <rPr>
        <sz val="12"/>
        <color theme="1"/>
        <rFont val="Malgun Gothic"/>
        <family val="2"/>
        <charset val="129"/>
      </rPr>
      <t>드리븐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정압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측정</t>
    </r>
    <phoneticPr fontId="4" type="noConversion"/>
  </si>
  <si>
    <t>Sensys PSCDC010BCPG-FC</t>
    <phoneticPr fontId="4" type="noConversion"/>
  </si>
  <si>
    <t>XYIW77</t>
    <phoneticPr fontId="4" type="noConversion"/>
  </si>
  <si>
    <t>driven 4</t>
    <phoneticPr fontId="4" type="noConversion"/>
  </si>
  <si>
    <r>
      <rPr>
        <sz val="12"/>
        <color theme="1"/>
        <rFont val="Malgun Gothic"/>
        <family val="2"/>
        <charset val="129"/>
      </rPr>
      <t>센서콘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압력측정</t>
    </r>
    <phoneticPr fontId="4" type="noConversion"/>
  </si>
  <si>
    <t>PCB 113B28</t>
    <phoneticPr fontId="4" type="noConversion"/>
  </si>
  <si>
    <t>센서콘 하단 1</t>
    <phoneticPr fontId="4" type="noConversion"/>
  </si>
  <si>
    <t>센서콘 하단 2</t>
    <phoneticPr fontId="4" type="noConversion"/>
  </si>
  <si>
    <r>
      <rPr>
        <sz val="12"/>
        <color theme="1"/>
        <rFont val="Malgun Gothic"/>
        <family val="2"/>
        <charset val="129"/>
      </rPr>
      <t>반반콘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압력측정</t>
    </r>
    <phoneticPr fontId="4" type="noConversion"/>
  </si>
  <si>
    <t>PCB 132B38</t>
    <phoneticPr fontId="4" type="noConversion"/>
  </si>
  <si>
    <t>p'=a*V</t>
    <phoneticPr fontId="4" type="noConversion"/>
  </si>
  <si>
    <r>
      <rPr>
        <sz val="12"/>
        <color theme="1"/>
        <rFont val="맑은 고딕"/>
        <family val="3"/>
        <charset val="129"/>
      </rPr>
      <t xml:space="preserve">반반콘 </t>
    </r>
    <r>
      <rPr>
        <sz val="12"/>
        <color theme="1"/>
        <rFont val="Calibri"/>
        <family val="3"/>
      </rPr>
      <t>PP1</t>
    </r>
    <phoneticPr fontId="4" type="noConversion"/>
  </si>
  <si>
    <t>정상</t>
  </si>
  <si>
    <r>
      <rPr>
        <sz val="12"/>
        <color theme="1"/>
        <rFont val="Malgun Gothic"/>
        <family val="2"/>
        <charset val="129"/>
      </rPr>
      <t>센서콘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Malgun Gothic"/>
        <family val="2"/>
        <charset val="129"/>
      </rPr>
      <t>상단</t>
    </r>
    <r>
      <rPr>
        <sz val="12"/>
        <color theme="1"/>
        <rFont val="맑은 고딕"/>
        <family val="2"/>
        <charset val="129"/>
        <scheme val="minor"/>
      </rPr>
      <t xml:space="preserve"> UH 3</t>
    </r>
    <phoneticPr fontId="4" type="noConversion"/>
  </si>
  <si>
    <r>
      <rPr>
        <sz val="12"/>
        <color theme="1"/>
        <rFont val="맑은 고딕"/>
        <family val="3"/>
        <charset val="129"/>
      </rPr>
      <t xml:space="preserve">반반콘 </t>
    </r>
    <r>
      <rPr>
        <sz val="12"/>
        <color theme="1"/>
        <rFont val="Calibri"/>
        <family val="3"/>
      </rPr>
      <t>PP2</t>
    </r>
    <r>
      <rPr>
        <sz val="11"/>
        <color theme="1"/>
        <rFont val="맑은 고딕"/>
        <family val="2"/>
        <charset val="129"/>
        <scheme val="minor"/>
      </rPr>
      <t/>
    </r>
  </si>
  <si>
    <t>단선, 정상</t>
    <phoneticPr fontId="4" type="noConversion"/>
  </si>
  <si>
    <r>
      <t>센서콘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Malgun Gothic"/>
        <family val="2"/>
        <charset val="129"/>
      </rPr>
      <t>상단</t>
    </r>
    <r>
      <rPr>
        <sz val="12"/>
        <color rgb="FF000000"/>
        <rFont val="Calibri"/>
        <family val="2"/>
      </rPr>
      <t xml:space="preserve"> UH 5</t>
    </r>
    <phoneticPr fontId="3" type="noConversion"/>
  </si>
  <si>
    <r>
      <rPr>
        <sz val="12"/>
        <color theme="1"/>
        <rFont val="맑은 고딕"/>
        <family val="3"/>
        <charset val="129"/>
      </rPr>
      <t xml:space="preserve">반반콘 </t>
    </r>
    <r>
      <rPr>
        <sz val="12"/>
        <color theme="1"/>
        <rFont val="Calibri"/>
        <family val="3"/>
      </rPr>
      <t>PP3</t>
    </r>
    <r>
      <rPr>
        <sz val="11"/>
        <color theme="1"/>
        <rFont val="맑은 고딕"/>
        <family val="2"/>
        <charset val="129"/>
        <scheme val="minor"/>
      </rPr>
      <t/>
    </r>
  </si>
  <si>
    <t>정상</t>
    <phoneticPr fontId="4" type="noConversion"/>
  </si>
  <si>
    <r>
      <t>센서콘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Malgun Gothic"/>
        <family val="2"/>
        <charset val="129"/>
      </rPr>
      <t>상단</t>
    </r>
    <r>
      <rPr>
        <sz val="12"/>
        <color rgb="FF000000"/>
        <rFont val="Calibri"/>
        <family val="2"/>
      </rPr>
      <t xml:space="preserve"> UH 9</t>
    </r>
    <phoneticPr fontId="3" type="noConversion"/>
  </si>
  <si>
    <r>
      <rPr>
        <sz val="12"/>
        <color theme="1"/>
        <rFont val="맑은 고딕"/>
        <family val="3"/>
        <charset val="129"/>
      </rPr>
      <t xml:space="preserve">반반콘 </t>
    </r>
    <r>
      <rPr>
        <sz val="12"/>
        <color theme="1"/>
        <rFont val="Calibri"/>
        <family val="3"/>
      </rPr>
      <t>PP4</t>
    </r>
    <phoneticPr fontId="4" type="noConversion"/>
  </si>
  <si>
    <r>
      <t>반반콘</t>
    </r>
    <r>
      <rPr>
        <sz val="12"/>
        <color theme="1"/>
        <rFont val="맑은 고딕"/>
        <family val="3"/>
        <charset val="129"/>
      </rPr>
      <t xml:space="preserve"> SP1</t>
    </r>
    <phoneticPr fontId="4" type="noConversion"/>
  </si>
  <si>
    <r>
      <t>반반콘</t>
    </r>
    <r>
      <rPr>
        <sz val="12"/>
        <color theme="1"/>
        <rFont val="맑은 고딕"/>
        <family val="3"/>
        <charset val="129"/>
      </rPr>
      <t xml:space="preserve"> SP4</t>
    </r>
    <r>
      <rPr>
        <sz val="11"/>
        <color theme="1"/>
        <rFont val="맑은 고딕"/>
        <family val="2"/>
        <charset val="129"/>
        <scheme val="minor"/>
      </rPr>
      <t/>
    </r>
  </si>
  <si>
    <r>
      <t>반반콘</t>
    </r>
    <r>
      <rPr>
        <sz val="12"/>
        <color theme="1"/>
        <rFont val="맑은 고딕"/>
        <family val="3"/>
        <charset val="129"/>
      </rPr>
      <t xml:space="preserve"> SP2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</si>
  <si>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HB2 </t>
    </r>
    <r>
      <rPr>
        <sz val="12"/>
        <color theme="1"/>
        <rFont val="Malgun Gothic"/>
        <family val="2"/>
        <charset val="129"/>
      </rPr>
      <t>압력측정</t>
    </r>
    <phoneticPr fontId="4" type="noConversion"/>
  </si>
  <si>
    <t>HB2 STRAIN SENSOR</t>
    <phoneticPr fontId="4" type="noConversion"/>
  </si>
  <si>
    <r>
      <t xml:space="preserve">PCB </t>
    </r>
    <r>
      <rPr>
        <sz val="12"/>
        <color theme="1"/>
        <rFont val="맑은 고딕"/>
        <family val="2"/>
        <scheme val="minor"/>
      </rPr>
      <t>740B02</t>
    </r>
    <phoneticPr fontId="4" type="noConversion"/>
  </si>
  <si>
    <t>?</t>
    <phoneticPr fontId="4" type="noConversion"/>
  </si>
  <si>
    <r>
      <t>반반콘</t>
    </r>
    <r>
      <rPr>
        <sz val="12"/>
        <color theme="1"/>
        <rFont val="맑은 고딕"/>
        <family val="3"/>
        <charset val="129"/>
      </rPr>
      <t xml:space="preserve"> SP3</t>
    </r>
    <r>
      <rPr>
        <sz val="11"/>
        <color theme="1"/>
        <rFont val="맑은 고딕"/>
        <family val="2"/>
        <charset val="129"/>
        <scheme val="minor"/>
      </rPr>
      <t/>
    </r>
  </si>
  <si>
    <t>흔들림 심함</t>
    <phoneticPr fontId="4" type="noConversion"/>
  </si>
  <si>
    <r>
      <rPr>
        <sz val="12"/>
        <color theme="1"/>
        <rFont val="Malgun Gothic"/>
        <family val="2"/>
        <charset val="129"/>
      </rPr>
      <t>센서콘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Malgun Gothic"/>
        <family val="2"/>
        <charset val="129"/>
      </rPr>
      <t>상단</t>
    </r>
    <r>
      <rPr>
        <sz val="12"/>
        <color theme="1"/>
        <rFont val="맑은 고딕"/>
        <family val="2"/>
        <charset val="129"/>
        <scheme val="minor"/>
      </rPr>
      <t xml:space="preserve"> UH 1</t>
    </r>
    <phoneticPr fontId="4" type="noConversion"/>
  </si>
  <si>
    <t>고장 확실</t>
    <phoneticPr fontId="4" type="noConversion"/>
  </si>
  <si>
    <r>
      <t>센서콘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Malgun Gothic"/>
        <family val="2"/>
        <charset val="129"/>
      </rPr>
      <t>상단</t>
    </r>
    <r>
      <rPr>
        <sz val="12"/>
        <color rgb="FF000000"/>
        <rFont val="Calibri"/>
        <family val="2"/>
      </rPr>
      <t xml:space="preserve"> UH 11</t>
    </r>
    <phoneticPr fontId="3" type="noConversion"/>
  </si>
  <si>
    <t>반응 없음</t>
    <phoneticPr fontId="4" type="noConversion"/>
  </si>
  <si>
    <r>
      <t>센서콘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Malgun Gothic"/>
        <family val="2"/>
        <charset val="129"/>
      </rPr>
      <t>상단</t>
    </r>
    <r>
      <rPr>
        <sz val="12"/>
        <color rgb="FF000000"/>
        <rFont val="Calibri"/>
        <family val="2"/>
      </rPr>
      <t xml:space="preserve"> UH 7</t>
    </r>
    <phoneticPr fontId="3" type="noConversion"/>
  </si>
  <si>
    <t>단선, 반응 없음</t>
    <phoneticPr fontId="4" type="noConversion"/>
  </si>
  <si>
    <t>반응 없음</t>
  </si>
  <si>
    <t>Medtherm Coaxial Thermocouple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</si>
</sst>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000000"/>
  </numFmts>
  <fonts count="18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Malgun Gothic"/>
      <family val="2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2"/>
      <color theme="1"/>
      <name val="Calibri"/>
      <family val="2"/>
      <charset val="129"/>
    </font>
    <font>
      <sz val="12"/>
      <color theme="1"/>
      <name val="Calibri"/>
      <family val="2"/>
    </font>
    <font>
      <sz val="12"/>
      <color theme="1"/>
      <name val="맑은 고딕"/>
      <family val="2"/>
      <scheme val="minor"/>
    </font>
    <font>
      <sz val="12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</font>
    <font>
      <sz val="11"/>
      <color rgb="FF000000"/>
      <name val="맑은 고딕"/>
      <family val="2"/>
      <charset val="129"/>
    </font>
    <font>
      <sz val="12"/>
      <color theme="1"/>
      <name val="Malgun Gothic"/>
      <family val="2"/>
    </font>
    <font>
      <sz val="12"/>
      <color theme="1"/>
      <name val="Calibri"/>
      <family val="3"/>
      <charset val="129"/>
    </font>
    <font>
      <sz val="12"/>
      <color theme="1"/>
      <name val="Calibri"/>
      <family val="3"/>
    </font>
    <font>
      <sz val="12"/>
      <color theme="1"/>
      <name val="맑은 고딕"/>
      <family val="3"/>
      <charset val="129"/>
      <scheme val="minor"/>
    </font>
    <font>
      <sz val="12"/>
      <color rgb="FF000000"/>
      <name val="Malgun Gothic"/>
      <family val="2"/>
      <charset val="129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quotePrefix="1" applyNumberFormat="1" applyFont="1" applyAlignment="1">
      <alignment horizontal="center"/>
    </xf>
    <xf numFmtId="176" fontId="7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14" fontId="7" fillId="0" borderId="0" xfId="0" applyNumberFormat="1" applyFont="1" applyAlignment="1">
      <alignment horizontal="center"/>
    </xf>
    <xf numFmtId="176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8" fillId="3" borderId="0" xfId="0" applyFont="1" applyFill="1" applyAlignment="1">
      <alignment horizontal="left"/>
    </xf>
    <xf numFmtId="176" fontId="0" fillId="4" borderId="0" xfId="0" applyNumberForma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10" fillId="3" borderId="0" xfId="0" applyFont="1" applyFill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B963-796F-0941-BA3A-174123BB1F19}">
  <dimension ref="A1:M81"/>
  <sheetViews>
    <sheetView tabSelected="1" topLeftCell="A10" workbookViewId="0">
      <selection activeCell="C29" sqref="C29"/>
    </sheetView>
  </sheetViews>
  <sheetFormatPr baseColWidth="10" defaultColWidth="9.28515625" defaultRowHeight="18"/>
  <cols>
    <col min="1" max="1" width="12.85546875" style="4" bestFit="1" customWidth="1"/>
    <col min="2" max="2" width="21" style="4" bestFit="1" customWidth="1"/>
    <col min="3" max="3" width="26.7109375" style="4" bestFit="1" customWidth="1"/>
    <col min="4" max="4" width="15.5703125" style="4" customWidth="1"/>
    <col min="5" max="6" width="25.7109375" style="4" customWidth="1"/>
    <col min="7" max="7" width="13.5703125" style="4" customWidth="1"/>
    <col min="8" max="9" width="24.5703125" style="4" customWidth="1"/>
    <col min="10" max="10" width="24.140625" style="4" bestFit="1" customWidth="1"/>
    <col min="11" max="12" width="24.5703125" style="4" customWidth="1"/>
    <col min="13" max="13" width="49.42578125" style="9" bestFit="1" customWidth="1"/>
    <col min="14" max="16384" width="9.28515625" style="4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</row>
    <row r="2" spans="1:13">
      <c r="A2" s="1">
        <v>2021</v>
      </c>
      <c r="B2" s="1" t="s">
        <v>42</v>
      </c>
      <c r="C2" s="6" t="s">
        <v>43</v>
      </c>
      <c r="D2" s="4">
        <v>32047</v>
      </c>
      <c r="E2" s="1" t="s">
        <v>44</v>
      </c>
      <c r="F2" s="1" t="s">
        <v>44</v>
      </c>
      <c r="G2" s="1" t="s">
        <v>44</v>
      </c>
      <c r="H2" s="6" t="s">
        <v>19</v>
      </c>
      <c r="I2" s="6" t="s">
        <v>19</v>
      </c>
      <c r="J2" s="6" t="s">
        <v>19</v>
      </c>
      <c r="K2" s="6" t="s">
        <v>19</v>
      </c>
      <c r="L2" s="6"/>
    </row>
    <row r="3" spans="1:13">
      <c r="A3" s="1">
        <v>2021</v>
      </c>
      <c r="B3" s="1" t="s">
        <v>45</v>
      </c>
      <c r="C3" s="6" t="s">
        <v>46</v>
      </c>
      <c r="D3" s="2">
        <v>203596</v>
      </c>
      <c r="E3" s="1" t="s">
        <v>44</v>
      </c>
      <c r="F3" s="1" t="s">
        <v>44</v>
      </c>
      <c r="G3" s="1" t="s">
        <v>44</v>
      </c>
      <c r="H3" s="6" t="s">
        <v>19</v>
      </c>
      <c r="I3" s="6" t="s">
        <v>19</v>
      </c>
      <c r="J3" s="6" t="s">
        <v>19</v>
      </c>
      <c r="K3" s="6" t="s">
        <v>19</v>
      </c>
      <c r="L3" s="6"/>
      <c r="M3" s="3"/>
    </row>
    <row r="4" spans="1:13">
      <c r="A4" s="1">
        <v>2021</v>
      </c>
      <c r="B4" s="1" t="s">
        <v>45</v>
      </c>
      <c r="C4" s="6" t="s">
        <v>46</v>
      </c>
      <c r="D4" s="2">
        <v>203597</v>
      </c>
      <c r="E4" s="1" t="s">
        <v>44</v>
      </c>
      <c r="F4" s="1" t="s">
        <v>44</v>
      </c>
      <c r="G4" s="1" t="s">
        <v>44</v>
      </c>
      <c r="H4" s="4" t="s">
        <v>44</v>
      </c>
      <c r="I4" s="4" t="s">
        <v>44</v>
      </c>
      <c r="J4" s="4" t="s">
        <v>44</v>
      </c>
      <c r="K4" s="4" t="s">
        <v>44</v>
      </c>
    </row>
    <row r="5" spans="1:13">
      <c r="A5" s="1">
        <v>2021</v>
      </c>
      <c r="B5" s="1" t="s">
        <v>45</v>
      </c>
      <c r="C5" s="6" t="s">
        <v>46</v>
      </c>
      <c r="D5" s="2">
        <v>203598</v>
      </c>
      <c r="E5" s="1" t="s">
        <v>44</v>
      </c>
      <c r="F5" s="1" t="s">
        <v>44</v>
      </c>
      <c r="G5" s="1" t="s">
        <v>44</v>
      </c>
      <c r="H5" s="4" t="s">
        <v>44</v>
      </c>
      <c r="I5" s="4" t="s">
        <v>44</v>
      </c>
      <c r="J5" s="4" t="s">
        <v>44</v>
      </c>
      <c r="K5" s="4" t="s">
        <v>44</v>
      </c>
    </row>
    <row r="6" spans="1:13">
      <c r="A6" s="1">
        <v>2021</v>
      </c>
      <c r="B6" s="1" t="s">
        <v>45</v>
      </c>
      <c r="C6" s="6" t="s">
        <v>46</v>
      </c>
      <c r="D6" s="2">
        <v>203599</v>
      </c>
      <c r="E6" s="1" t="s">
        <v>44</v>
      </c>
      <c r="F6" s="1" t="s">
        <v>44</v>
      </c>
      <c r="G6" s="1" t="s">
        <v>44</v>
      </c>
      <c r="H6" s="4" t="s">
        <v>44</v>
      </c>
      <c r="I6" s="4" t="s">
        <v>44</v>
      </c>
      <c r="J6" s="4" t="s">
        <v>44</v>
      </c>
      <c r="K6" s="4" t="s">
        <v>44</v>
      </c>
    </row>
    <row r="7" spans="1:13">
      <c r="A7" s="1">
        <v>2021</v>
      </c>
      <c r="B7" s="1" t="s">
        <v>45</v>
      </c>
      <c r="C7" s="6" t="s">
        <v>46</v>
      </c>
      <c r="D7" s="2">
        <v>203600</v>
      </c>
      <c r="E7" s="1" t="s">
        <v>44</v>
      </c>
      <c r="F7" s="1" t="s">
        <v>44</v>
      </c>
      <c r="G7" s="1" t="s">
        <v>44</v>
      </c>
      <c r="H7" s="4" t="s">
        <v>44</v>
      </c>
      <c r="I7" s="4" t="s">
        <v>44</v>
      </c>
      <c r="J7" s="4" t="s">
        <v>44</v>
      </c>
      <c r="K7" s="4" t="s">
        <v>44</v>
      </c>
    </row>
    <row r="8" spans="1:13">
      <c r="A8" s="1">
        <v>2021</v>
      </c>
      <c r="B8" s="1" t="s">
        <v>45</v>
      </c>
      <c r="C8" s="6" t="s">
        <v>46</v>
      </c>
      <c r="D8" s="2">
        <v>203601</v>
      </c>
      <c r="E8" s="1" t="s">
        <v>44</v>
      </c>
      <c r="F8" s="1" t="s">
        <v>44</v>
      </c>
      <c r="G8" s="1" t="s">
        <v>44</v>
      </c>
      <c r="H8" s="4" t="s">
        <v>44</v>
      </c>
      <c r="I8" s="4" t="s">
        <v>44</v>
      </c>
      <c r="J8" s="4" t="s">
        <v>44</v>
      </c>
      <c r="K8" s="4" t="s">
        <v>44</v>
      </c>
    </row>
    <row r="9" spans="1:13">
      <c r="A9" s="1">
        <v>2021</v>
      </c>
      <c r="B9" s="1" t="s">
        <v>45</v>
      </c>
      <c r="C9" s="6" t="s">
        <v>46</v>
      </c>
      <c r="D9" s="2">
        <v>203602</v>
      </c>
      <c r="E9" s="1" t="s">
        <v>44</v>
      </c>
      <c r="F9" s="1" t="s">
        <v>44</v>
      </c>
      <c r="G9" s="1" t="s">
        <v>44</v>
      </c>
      <c r="H9" s="6" t="s">
        <v>19</v>
      </c>
      <c r="I9" s="6" t="s">
        <v>19</v>
      </c>
      <c r="J9" s="6" t="s">
        <v>19</v>
      </c>
      <c r="K9" s="6" t="s">
        <v>19</v>
      </c>
      <c r="L9" s="6"/>
    </row>
    <row r="10" spans="1:13">
      <c r="A10" s="1">
        <v>2021</v>
      </c>
      <c r="B10" s="1" t="s">
        <v>45</v>
      </c>
      <c r="C10" s="6" t="s">
        <v>46</v>
      </c>
      <c r="D10" s="2">
        <v>203603</v>
      </c>
      <c r="E10" s="1" t="s">
        <v>44</v>
      </c>
      <c r="F10" s="1" t="s">
        <v>44</v>
      </c>
      <c r="G10" s="1" t="s">
        <v>44</v>
      </c>
      <c r="H10" s="6" t="s">
        <v>19</v>
      </c>
      <c r="I10" s="6" t="s">
        <v>19</v>
      </c>
      <c r="J10" s="6" t="s">
        <v>19</v>
      </c>
      <c r="K10" s="6" t="s">
        <v>19</v>
      </c>
      <c r="L10" s="6"/>
    </row>
    <row r="11" spans="1:13">
      <c r="A11" s="1">
        <v>2021</v>
      </c>
      <c r="B11" s="1" t="s">
        <v>45</v>
      </c>
      <c r="C11" s="6" t="s">
        <v>46</v>
      </c>
      <c r="D11" s="2">
        <v>203605</v>
      </c>
      <c r="E11" s="1" t="s">
        <v>44</v>
      </c>
      <c r="F11" s="1" t="s">
        <v>44</v>
      </c>
      <c r="G11" s="1" t="s">
        <v>44</v>
      </c>
      <c r="H11" s="6" t="s">
        <v>19</v>
      </c>
      <c r="I11" s="6" t="s">
        <v>19</v>
      </c>
      <c r="J11" s="6" t="s">
        <v>19</v>
      </c>
      <c r="K11" s="6" t="s">
        <v>19</v>
      </c>
      <c r="L11" s="6"/>
    </row>
    <row r="12" spans="1:13">
      <c r="A12" s="1">
        <v>2021</v>
      </c>
      <c r="B12" s="1" t="s">
        <v>45</v>
      </c>
      <c r="C12" s="6" t="s">
        <v>46</v>
      </c>
      <c r="D12" s="4">
        <v>203612</v>
      </c>
      <c r="E12" s="1" t="s">
        <v>44</v>
      </c>
      <c r="F12" s="1" t="s">
        <v>44</v>
      </c>
      <c r="G12" s="1" t="s">
        <v>44</v>
      </c>
      <c r="H12" s="4" t="s">
        <v>44</v>
      </c>
      <c r="I12" s="4" t="s">
        <v>44</v>
      </c>
      <c r="J12" s="4" t="s">
        <v>44</v>
      </c>
      <c r="K12" s="4" t="s">
        <v>44</v>
      </c>
    </row>
    <row r="13" spans="1:13">
      <c r="A13" s="1">
        <v>2021</v>
      </c>
      <c r="B13" s="1" t="s">
        <v>45</v>
      </c>
      <c r="C13" s="6" t="s">
        <v>46</v>
      </c>
      <c r="D13" s="4">
        <v>203613</v>
      </c>
      <c r="E13" s="1" t="s">
        <v>44</v>
      </c>
      <c r="F13" s="1" t="s">
        <v>44</v>
      </c>
      <c r="G13" s="1" t="s">
        <v>44</v>
      </c>
      <c r="H13" s="4" t="s">
        <v>44</v>
      </c>
      <c r="I13" s="4" t="s">
        <v>44</v>
      </c>
      <c r="J13" s="4" t="s">
        <v>44</v>
      </c>
      <c r="K13" s="4" t="s">
        <v>44</v>
      </c>
    </row>
    <row r="14" spans="1:13">
      <c r="A14" s="1">
        <v>2021</v>
      </c>
      <c r="B14" s="1" t="s">
        <v>45</v>
      </c>
      <c r="C14" s="6" t="s">
        <v>46</v>
      </c>
      <c r="D14" s="4">
        <v>203616</v>
      </c>
      <c r="E14" s="1" t="s">
        <v>44</v>
      </c>
      <c r="F14" s="1" t="s">
        <v>44</v>
      </c>
      <c r="G14" s="1" t="s">
        <v>44</v>
      </c>
      <c r="H14" s="6" t="s">
        <v>19</v>
      </c>
      <c r="I14" s="6" t="s">
        <v>19</v>
      </c>
      <c r="J14" s="6" t="s">
        <v>19</v>
      </c>
      <c r="K14" s="6" t="s">
        <v>19</v>
      </c>
      <c r="L14" s="6"/>
    </row>
    <row r="15" spans="1:13">
      <c r="A15" s="1">
        <v>2021</v>
      </c>
      <c r="B15" s="1" t="s">
        <v>45</v>
      </c>
      <c r="C15" s="6" t="s">
        <v>46</v>
      </c>
      <c r="D15" s="4">
        <v>203628</v>
      </c>
      <c r="E15" s="1" t="s">
        <v>44</v>
      </c>
      <c r="F15" s="1" t="s">
        <v>44</v>
      </c>
      <c r="G15" s="1" t="s">
        <v>44</v>
      </c>
      <c r="H15" s="6" t="s">
        <v>19</v>
      </c>
      <c r="I15" s="6" t="s">
        <v>19</v>
      </c>
      <c r="J15" s="6" t="s">
        <v>19</v>
      </c>
      <c r="K15" s="6" t="s">
        <v>19</v>
      </c>
      <c r="L15" s="6"/>
    </row>
    <row r="16" spans="1:13">
      <c r="A16" s="1">
        <v>2021</v>
      </c>
      <c r="B16" s="1" t="s">
        <v>45</v>
      </c>
      <c r="C16" s="6" t="s">
        <v>46</v>
      </c>
      <c r="D16" s="4">
        <v>203629</v>
      </c>
      <c r="E16" s="1" t="s">
        <v>44</v>
      </c>
      <c r="F16" s="1" t="s">
        <v>44</v>
      </c>
      <c r="G16" s="1" t="s">
        <v>44</v>
      </c>
      <c r="H16" s="4" t="s">
        <v>44</v>
      </c>
      <c r="I16" s="4" t="s">
        <v>44</v>
      </c>
      <c r="J16" s="4" t="s">
        <v>44</v>
      </c>
      <c r="K16" s="4" t="s">
        <v>44</v>
      </c>
    </row>
    <row r="17" spans="1:13">
      <c r="A17" s="1">
        <v>2021</v>
      </c>
      <c r="B17" s="1" t="s">
        <v>45</v>
      </c>
      <c r="C17" s="6" t="s">
        <v>46</v>
      </c>
      <c r="D17" s="4">
        <v>203630</v>
      </c>
      <c r="E17" s="1" t="s">
        <v>44</v>
      </c>
      <c r="F17" s="1" t="s">
        <v>44</v>
      </c>
      <c r="G17" s="1" t="s">
        <v>44</v>
      </c>
      <c r="H17" s="6" t="s">
        <v>19</v>
      </c>
      <c r="I17" s="6" t="s">
        <v>19</v>
      </c>
      <c r="J17" s="6" t="s">
        <v>19</v>
      </c>
      <c r="K17" s="6" t="s">
        <v>19</v>
      </c>
      <c r="L17" s="6"/>
    </row>
    <row r="18" spans="1:13">
      <c r="A18" s="1">
        <v>2021</v>
      </c>
      <c r="B18" s="1" t="s">
        <v>45</v>
      </c>
      <c r="C18" s="6" t="s">
        <v>46</v>
      </c>
      <c r="D18" s="4">
        <v>203631</v>
      </c>
      <c r="E18" s="1" t="s">
        <v>44</v>
      </c>
      <c r="F18" s="1" t="s">
        <v>44</v>
      </c>
      <c r="G18" s="1" t="s">
        <v>44</v>
      </c>
      <c r="H18" s="6" t="s">
        <v>19</v>
      </c>
      <c r="I18" s="6" t="s">
        <v>19</v>
      </c>
      <c r="J18" s="6" t="s">
        <v>19</v>
      </c>
      <c r="K18" s="6" t="s">
        <v>19</v>
      </c>
      <c r="L18" s="6"/>
    </row>
    <row r="19" spans="1:13">
      <c r="A19" s="1">
        <v>2022</v>
      </c>
      <c r="B19" s="1" t="s">
        <v>47</v>
      </c>
      <c r="C19" s="6" t="s">
        <v>48</v>
      </c>
      <c r="D19" s="4" t="s">
        <v>49</v>
      </c>
      <c r="E19" s="1" t="s">
        <v>44</v>
      </c>
      <c r="F19" s="1" t="s">
        <v>44</v>
      </c>
      <c r="G19" s="1" t="s">
        <v>44</v>
      </c>
      <c r="H19" s="6" t="s">
        <v>50</v>
      </c>
      <c r="I19" s="6" t="s">
        <v>50</v>
      </c>
      <c r="J19" s="6" t="s">
        <v>50</v>
      </c>
      <c r="K19" s="6" t="s">
        <v>50</v>
      </c>
      <c r="L19" s="6"/>
    </row>
    <row r="20" spans="1:13">
      <c r="A20" s="1">
        <v>2022</v>
      </c>
      <c r="B20" s="1" t="s">
        <v>47</v>
      </c>
      <c r="C20" s="6" t="s">
        <v>48</v>
      </c>
      <c r="D20" s="4" t="s">
        <v>51</v>
      </c>
      <c r="E20" s="1" t="s">
        <v>44</v>
      </c>
      <c r="F20" s="1" t="s">
        <v>44</v>
      </c>
      <c r="G20" s="1" t="s">
        <v>44</v>
      </c>
      <c r="H20" s="6" t="s">
        <v>52</v>
      </c>
      <c r="I20" s="6" t="s">
        <v>52</v>
      </c>
      <c r="J20" s="6" t="s">
        <v>52</v>
      </c>
      <c r="K20" s="6" t="s">
        <v>52</v>
      </c>
      <c r="L20" s="6"/>
    </row>
    <row r="21" spans="1:13">
      <c r="A21" s="1">
        <v>2022</v>
      </c>
      <c r="B21" s="1" t="s">
        <v>47</v>
      </c>
      <c r="C21" s="6" t="s">
        <v>53</v>
      </c>
      <c r="D21" s="11" t="s">
        <v>54</v>
      </c>
      <c r="E21" s="1" t="s">
        <v>44</v>
      </c>
      <c r="F21" s="1" t="s">
        <v>44</v>
      </c>
      <c r="G21" s="1" t="s">
        <v>44</v>
      </c>
      <c r="H21" s="6" t="s">
        <v>19</v>
      </c>
      <c r="I21" s="6" t="s">
        <v>19</v>
      </c>
      <c r="J21" s="6" t="s">
        <v>19</v>
      </c>
      <c r="K21" s="6" t="s">
        <v>19</v>
      </c>
      <c r="L21" s="6"/>
    </row>
    <row r="22" spans="1:13">
      <c r="A22" s="1">
        <v>2022</v>
      </c>
      <c r="B22" s="1" t="s">
        <v>47</v>
      </c>
      <c r="C22" s="6" t="s">
        <v>53</v>
      </c>
      <c r="D22" s="11" t="s">
        <v>55</v>
      </c>
      <c r="E22" s="1" t="s">
        <v>44</v>
      </c>
      <c r="F22" s="1" t="s">
        <v>44</v>
      </c>
      <c r="G22" s="1" t="s">
        <v>44</v>
      </c>
      <c r="H22" s="6" t="s">
        <v>19</v>
      </c>
      <c r="I22" s="6" t="s">
        <v>19</v>
      </c>
      <c r="J22" s="6" t="s">
        <v>19</v>
      </c>
      <c r="K22" s="6" t="s">
        <v>19</v>
      </c>
      <c r="L22" s="6"/>
      <c r="M22" s="9" t="s">
        <v>56</v>
      </c>
    </row>
    <row r="23" spans="1:13">
      <c r="A23" s="5">
        <v>44986</v>
      </c>
      <c r="B23" s="2" t="s">
        <v>57</v>
      </c>
      <c r="C23" s="6" t="s">
        <v>58</v>
      </c>
      <c r="D23" s="6">
        <v>57260</v>
      </c>
      <c r="E23" s="12">
        <v>6.8347459095854601E-2</v>
      </c>
      <c r="F23" s="12">
        <v>0.416752647468209</v>
      </c>
      <c r="G23" s="6" t="s">
        <v>59</v>
      </c>
      <c r="H23" s="6" t="s">
        <v>60</v>
      </c>
      <c r="I23" s="6" t="s">
        <v>60</v>
      </c>
      <c r="J23" s="6" t="s">
        <v>60</v>
      </c>
      <c r="K23" s="6" t="s">
        <v>60</v>
      </c>
      <c r="L23" s="6"/>
    </row>
    <row r="24" spans="1:13">
      <c r="A24" s="5">
        <v>44986</v>
      </c>
      <c r="B24" s="2" t="s">
        <v>57</v>
      </c>
      <c r="C24" s="6" t="s">
        <v>58</v>
      </c>
      <c r="D24" s="6">
        <v>57261</v>
      </c>
      <c r="E24" s="12">
        <v>67.8</v>
      </c>
      <c r="F24" s="12">
        <v>0.1206</v>
      </c>
      <c r="G24" s="6" t="s">
        <v>59</v>
      </c>
      <c r="H24" s="6" t="s">
        <v>61</v>
      </c>
      <c r="I24" s="6" t="s">
        <v>61</v>
      </c>
      <c r="J24" s="6" t="s">
        <v>61</v>
      </c>
      <c r="K24" s="6" t="s">
        <v>61</v>
      </c>
      <c r="L24" s="6"/>
      <c r="M24" s="13" t="s">
        <v>62</v>
      </c>
    </row>
    <row r="25" spans="1:13">
      <c r="A25" s="5">
        <v>44986</v>
      </c>
      <c r="B25" s="2" t="s">
        <v>57</v>
      </c>
      <c r="C25" s="6" t="s">
        <v>58</v>
      </c>
      <c r="D25" s="6">
        <v>57262</v>
      </c>
      <c r="E25" s="12">
        <v>67.900000000000006</v>
      </c>
      <c r="F25" s="12">
        <v>3.5000000000000003E-2</v>
      </c>
      <c r="G25" s="6" t="s">
        <v>59</v>
      </c>
      <c r="H25" s="8" t="s">
        <v>63</v>
      </c>
      <c r="I25" s="8" t="s">
        <v>63</v>
      </c>
      <c r="J25" s="8" t="s">
        <v>63</v>
      </c>
      <c r="K25" s="8" t="s">
        <v>63</v>
      </c>
      <c r="L25" s="8"/>
    </row>
    <row r="26" spans="1:13">
      <c r="A26" s="5">
        <v>44986</v>
      </c>
      <c r="B26" s="2" t="s">
        <v>57</v>
      </c>
      <c r="C26" s="6" t="s">
        <v>58</v>
      </c>
      <c r="D26" s="6">
        <v>57263</v>
      </c>
      <c r="E26" s="12">
        <v>68</v>
      </c>
      <c r="F26" s="12">
        <v>0.31</v>
      </c>
      <c r="G26" s="6" t="s">
        <v>59</v>
      </c>
      <c r="H26" s="6" t="s">
        <v>64</v>
      </c>
      <c r="I26" s="6" t="s">
        <v>64</v>
      </c>
      <c r="J26" s="6" t="s">
        <v>65</v>
      </c>
      <c r="K26" s="6" t="s">
        <v>65</v>
      </c>
      <c r="L26" s="6"/>
    </row>
    <row r="27" spans="1:13">
      <c r="A27" s="5">
        <v>44986</v>
      </c>
      <c r="B27" s="2" t="s">
        <v>57</v>
      </c>
      <c r="C27" s="6" t="s">
        <v>58</v>
      </c>
      <c r="D27" s="6">
        <v>57264</v>
      </c>
      <c r="E27" s="12">
        <v>68.599999999999994</v>
      </c>
      <c r="F27" s="12">
        <v>0.37640000000000001</v>
      </c>
      <c r="G27" s="6" t="s">
        <v>59</v>
      </c>
      <c r="H27" s="6" t="s">
        <v>65</v>
      </c>
      <c r="I27" s="6" t="s">
        <v>65</v>
      </c>
      <c r="J27" s="6" t="s">
        <v>64</v>
      </c>
      <c r="K27" s="6" t="s">
        <v>64</v>
      </c>
      <c r="L27" s="6"/>
      <c r="M27" s="13" t="s">
        <v>66</v>
      </c>
    </row>
    <row r="28" spans="1:13">
      <c r="A28" s="14">
        <v>45085</v>
      </c>
      <c r="B28" s="2" t="s">
        <v>67</v>
      </c>
      <c r="C28" s="6" t="s">
        <v>68</v>
      </c>
      <c r="D28" s="6" t="s">
        <v>69</v>
      </c>
      <c r="E28" s="7">
        <v>74.970473233347207</v>
      </c>
      <c r="F28" s="7">
        <v>-75.163135921049502</v>
      </c>
      <c r="G28" s="6" t="s">
        <v>59</v>
      </c>
      <c r="H28" s="6" t="s">
        <v>70</v>
      </c>
      <c r="I28" s="6" t="s">
        <v>70</v>
      </c>
      <c r="J28" s="6" t="s">
        <v>70</v>
      </c>
      <c r="K28" s="6" t="s">
        <v>70</v>
      </c>
      <c r="L28" s="6"/>
    </row>
    <row r="29" spans="1:13">
      <c r="A29" s="5">
        <v>45103</v>
      </c>
      <c r="B29" s="1" t="s">
        <v>71</v>
      </c>
      <c r="C29" s="6" t="s">
        <v>72</v>
      </c>
      <c r="D29" s="4">
        <v>57610</v>
      </c>
      <c r="E29" s="15">
        <v>1.3260000000000001</v>
      </c>
      <c r="F29" s="15">
        <v>-3.3E-4</v>
      </c>
      <c r="G29" s="6" t="s">
        <v>59</v>
      </c>
      <c r="H29" s="6" t="s">
        <v>73</v>
      </c>
      <c r="I29" s="6" t="s">
        <v>73</v>
      </c>
      <c r="J29" s="6" t="s">
        <v>73</v>
      </c>
      <c r="K29" s="6" t="s">
        <v>73</v>
      </c>
      <c r="L29" s="6"/>
    </row>
    <row r="30" spans="1:13">
      <c r="A30" s="5">
        <v>45103</v>
      </c>
      <c r="B30" s="1" t="s">
        <v>71</v>
      </c>
      <c r="C30" s="6" t="s">
        <v>72</v>
      </c>
      <c r="D30" s="6">
        <v>57611</v>
      </c>
      <c r="E30" s="7">
        <v>1.38419558029537</v>
      </c>
      <c r="F30" s="7">
        <v>7.0525463543980038E-4</v>
      </c>
      <c r="G30" s="6" t="s">
        <v>59</v>
      </c>
      <c r="H30" s="6" t="s">
        <v>74</v>
      </c>
      <c r="I30" s="6" t="s">
        <v>74</v>
      </c>
      <c r="J30" s="6" t="s">
        <v>74</v>
      </c>
      <c r="K30" s="6" t="s">
        <v>74</v>
      </c>
      <c r="L30" s="6"/>
    </row>
    <row r="31" spans="1:13">
      <c r="A31" s="5">
        <v>45103</v>
      </c>
      <c r="B31" s="1" t="s">
        <v>71</v>
      </c>
      <c r="C31" s="6" t="s">
        <v>72</v>
      </c>
      <c r="D31" s="6">
        <v>57612</v>
      </c>
      <c r="E31" s="15">
        <v>1.331</v>
      </c>
      <c r="F31" s="15">
        <v>-2.9E-4</v>
      </c>
      <c r="G31" s="6" t="s">
        <v>59</v>
      </c>
      <c r="H31" s="6" t="s">
        <v>75</v>
      </c>
      <c r="I31" s="6" t="s">
        <v>75</v>
      </c>
      <c r="J31" s="6" t="s">
        <v>75</v>
      </c>
      <c r="K31" s="6" t="s">
        <v>75</v>
      </c>
      <c r="L31" s="6"/>
    </row>
    <row r="32" spans="1:13">
      <c r="A32" s="5">
        <v>45103</v>
      </c>
      <c r="B32" s="1" t="s">
        <v>71</v>
      </c>
      <c r="C32" s="6" t="s">
        <v>72</v>
      </c>
      <c r="D32" s="4">
        <v>57613</v>
      </c>
      <c r="E32" s="7">
        <v>1.3529294426724601</v>
      </c>
      <c r="F32" s="7">
        <v>4.5523509051781375E-4</v>
      </c>
      <c r="G32" s="6" t="s">
        <v>59</v>
      </c>
      <c r="H32" s="6" t="s">
        <v>76</v>
      </c>
      <c r="I32" s="6" t="s">
        <v>76</v>
      </c>
      <c r="J32" s="6" t="s">
        <v>76</v>
      </c>
      <c r="K32" s="6" t="s">
        <v>76</v>
      </c>
      <c r="L32" s="6"/>
    </row>
    <row r="33" spans="1:13">
      <c r="A33" s="5">
        <v>45103</v>
      </c>
      <c r="B33" s="1" t="s">
        <v>71</v>
      </c>
      <c r="C33" s="6" t="s">
        <v>72</v>
      </c>
      <c r="D33" s="4">
        <v>57671</v>
      </c>
      <c r="E33" s="7">
        <v>1.401196065248</v>
      </c>
      <c r="F33" s="7">
        <v>3.5956911773253886E-3</v>
      </c>
      <c r="G33" s="6" t="s">
        <v>59</v>
      </c>
      <c r="H33" s="6" t="s">
        <v>19</v>
      </c>
      <c r="I33" s="6" t="s">
        <v>19</v>
      </c>
      <c r="J33" s="6" t="s">
        <v>19</v>
      </c>
      <c r="K33" s="6" t="s">
        <v>19</v>
      </c>
      <c r="L33" s="6"/>
      <c r="M33" s="9" t="s">
        <v>77</v>
      </c>
    </row>
    <row r="34" spans="1:13">
      <c r="A34" s="5">
        <v>45103</v>
      </c>
      <c r="B34" s="1" t="s">
        <v>71</v>
      </c>
      <c r="C34" s="6" t="s">
        <v>72</v>
      </c>
      <c r="D34" s="4">
        <v>57672</v>
      </c>
      <c r="E34" s="7">
        <v>1.4505998929369699</v>
      </c>
      <c r="F34" s="7">
        <v>1.84712979239432E-3</v>
      </c>
      <c r="G34" s="6" t="s">
        <v>59</v>
      </c>
      <c r="H34" s="6" t="s">
        <v>78</v>
      </c>
      <c r="I34" s="6" t="s">
        <v>78</v>
      </c>
      <c r="J34" s="6" t="s">
        <v>78</v>
      </c>
      <c r="K34" s="6" t="s">
        <v>78</v>
      </c>
      <c r="L34" s="6"/>
    </row>
    <row r="35" spans="1:13">
      <c r="A35" s="5">
        <v>45103</v>
      </c>
      <c r="B35" s="1" t="s">
        <v>71</v>
      </c>
      <c r="C35" s="6" t="s">
        <v>72</v>
      </c>
      <c r="D35" s="4">
        <v>57673</v>
      </c>
      <c r="E35" s="7">
        <v>1.3890826477854199</v>
      </c>
      <c r="F35" s="7">
        <v>2.8288240084015648E-3</v>
      </c>
      <c r="G35" s="6" t="s">
        <v>59</v>
      </c>
      <c r="H35" s="6" t="s">
        <v>79</v>
      </c>
      <c r="I35" s="6" t="s">
        <v>79</v>
      </c>
      <c r="J35" s="6" t="s">
        <v>79</v>
      </c>
      <c r="K35" s="6" t="s">
        <v>79</v>
      </c>
      <c r="L35" s="6"/>
    </row>
    <row r="36" spans="1:13">
      <c r="A36" s="5">
        <v>45103</v>
      </c>
      <c r="B36" s="1" t="s">
        <v>71</v>
      </c>
      <c r="C36" s="6" t="s">
        <v>72</v>
      </c>
      <c r="D36" s="4">
        <v>57674</v>
      </c>
      <c r="E36" s="7">
        <v>1.4270458399646899</v>
      </c>
      <c r="F36" s="7">
        <v>2.3149974794463013E-3</v>
      </c>
      <c r="G36" s="6" t="s">
        <v>59</v>
      </c>
      <c r="H36" s="6" t="s">
        <v>80</v>
      </c>
      <c r="I36" s="6" t="s">
        <v>80</v>
      </c>
      <c r="J36" s="6" t="s">
        <v>80</v>
      </c>
      <c r="K36" s="6" t="s">
        <v>80</v>
      </c>
      <c r="L36" s="6"/>
    </row>
    <row r="37" spans="1:13">
      <c r="A37" s="5">
        <v>45103</v>
      </c>
      <c r="B37" s="1" t="s">
        <v>71</v>
      </c>
      <c r="C37" s="6" t="s">
        <v>72</v>
      </c>
      <c r="D37" s="6">
        <v>57675</v>
      </c>
      <c r="E37" s="7">
        <v>1.3733415652540799</v>
      </c>
      <c r="F37" s="7">
        <v>2.6102441549453737E-3</v>
      </c>
      <c r="G37" s="6" t="s">
        <v>59</v>
      </c>
      <c r="H37" s="6" t="s">
        <v>81</v>
      </c>
      <c r="I37" s="6" t="s">
        <v>81</v>
      </c>
      <c r="J37" s="6" t="s">
        <v>81</v>
      </c>
      <c r="K37" s="6" t="s">
        <v>81</v>
      </c>
      <c r="L37" s="6"/>
    </row>
    <row r="38" spans="1:13">
      <c r="A38" s="5">
        <v>45103</v>
      </c>
      <c r="B38" s="1" t="s">
        <v>71</v>
      </c>
      <c r="C38" s="6" t="s">
        <v>72</v>
      </c>
      <c r="D38" s="4">
        <v>57776</v>
      </c>
      <c r="E38" s="7">
        <v>1.3506579271341499</v>
      </c>
      <c r="F38" s="7">
        <v>1.7083112550904101E-3</v>
      </c>
      <c r="G38" s="6" t="s">
        <v>59</v>
      </c>
      <c r="H38" s="6" t="s">
        <v>82</v>
      </c>
      <c r="I38" s="6" t="s">
        <v>82</v>
      </c>
      <c r="J38" s="6" t="s">
        <v>82</v>
      </c>
      <c r="K38" s="6" t="s">
        <v>82</v>
      </c>
      <c r="L38" s="6"/>
    </row>
    <row r="39" spans="1:13">
      <c r="A39" s="5">
        <v>45103</v>
      </c>
      <c r="B39" s="1" t="s">
        <v>71</v>
      </c>
      <c r="C39" s="6" t="s">
        <v>72</v>
      </c>
      <c r="D39" s="4">
        <v>57777</v>
      </c>
      <c r="E39" s="7">
        <v>1.3948837608371201</v>
      </c>
      <c r="F39" s="7">
        <v>1.24760005768243E-3</v>
      </c>
      <c r="G39" s="6" t="s">
        <v>59</v>
      </c>
      <c r="H39" s="6" t="s">
        <v>83</v>
      </c>
      <c r="I39" s="6" t="s">
        <v>83</v>
      </c>
      <c r="J39" s="6" t="s">
        <v>83</v>
      </c>
      <c r="K39" s="6" t="s">
        <v>83</v>
      </c>
      <c r="L39" s="6"/>
    </row>
    <row r="40" spans="1:13">
      <c r="A40" s="5">
        <v>45103</v>
      </c>
      <c r="B40" s="1" t="s">
        <v>71</v>
      </c>
      <c r="C40" s="6" t="s">
        <v>72</v>
      </c>
      <c r="D40" s="4">
        <v>57778</v>
      </c>
      <c r="E40" s="7">
        <v>1.37596526533731</v>
      </c>
      <c r="F40" s="7">
        <v>2.4651343684829463E-3</v>
      </c>
      <c r="G40" s="6" t="s">
        <v>59</v>
      </c>
      <c r="H40" s="6" t="s">
        <v>84</v>
      </c>
      <c r="I40" s="6" t="s">
        <v>84</v>
      </c>
      <c r="J40" s="6" t="s">
        <v>84</v>
      </c>
      <c r="K40" s="6" t="s">
        <v>84</v>
      </c>
      <c r="L40" s="6"/>
    </row>
    <row r="41" spans="1:13">
      <c r="A41" s="5">
        <v>45103</v>
      </c>
      <c r="B41" s="1" t="s">
        <v>71</v>
      </c>
      <c r="C41" s="6" t="s">
        <v>72</v>
      </c>
      <c r="D41" s="6">
        <v>57779</v>
      </c>
      <c r="E41" s="15">
        <v>1.4159999999999999</v>
      </c>
      <c r="F41" s="15">
        <v>2.248E-3</v>
      </c>
      <c r="G41" s="6" t="s">
        <v>59</v>
      </c>
      <c r="H41" s="6" t="s">
        <v>85</v>
      </c>
      <c r="I41" s="6" t="s">
        <v>85</v>
      </c>
      <c r="J41" s="6" t="s">
        <v>85</v>
      </c>
      <c r="K41" s="6" t="s">
        <v>85</v>
      </c>
      <c r="L41" s="6"/>
    </row>
    <row r="42" spans="1:13">
      <c r="A42" s="14">
        <v>45243</v>
      </c>
      <c r="B42" s="2" t="s">
        <v>86</v>
      </c>
      <c r="C42" s="6" t="s">
        <v>87</v>
      </c>
      <c r="D42" s="6" t="s">
        <v>88</v>
      </c>
      <c r="E42" s="7">
        <v>2.7498033049060902</v>
      </c>
      <c r="F42" s="7">
        <v>-3.7560881206875991</v>
      </c>
      <c r="G42" s="6" t="s">
        <v>59</v>
      </c>
      <c r="H42" s="6" t="s">
        <v>89</v>
      </c>
      <c r="I42" s="6" t="s">
        <v>89</v>
      </c>
      <c r="J42" s="6" t="s">
        <v>89</v>
      </c>
      <c r="K42" s="6" t="s">
        <v>89</v>
      </c>
      <c r="L42" s="6"/>
    </row>
    <row r="43" spans="1:13">
      <c r="A43" s="5">
        <v>45317</v>
      </c>
      <c r="B43" s="2" t="s">
        <v>90</v>
      </c>
      <c r="C43" s="6" t="s">
        <v>91</v>
      </c>
      <c r="D43" s="4">
        <v>60534</v>
      </c>
      <c r="E43" s="12">
        <v>0.60011270472677303</v>
      </c>
      <c r="F43" s="12">
        <v>1.0161445328113E-2</v>
      </c>
      <c r="G43" s="6" t="s">
        <v>59</v>
      </c>
      <c r="H43" s="1" t="s">
        <v>92</v>
      </c>
      <c r="I43" s="6" t="s">
        <v>19</v>
      </c>
      <c r="J43" s="6" t="s">
        <v>19</v>
      </c>
      <c r="K43" s="6" t="s">
        <v>19</v>
      </c>
      <c r="L43" s="6"/>
    </row>
    <row r="44" spans="1:13">
      <c r="A44" s="5">
        <v>45317</v>
      </c>
      <c r="B44" s="2" t="s">
        <v>90</v>
      </c>
      <c r="C44" s="6" t="s">
        <v>91</v>
      </c>
      <c r="D44" s="4">
        <v>60535</v>
      </c>
      <c r="E44" s="12">
        <v>0.66340107452949604</v>
      </c>
      <c r="F44" s="12">
        <v>2.7551818023907599E-3</v>
      </c>
      <c r="G44" s="6" t="s">
        <v>59</v>
      </c>
      <c r="H44" s="6" t="s">
        <v>19</v>
      </c>
      <c r="I44" s="6" t="s">
        <v>19</v>
      </c>
      <c r="J44" s="6" t="s">
        <v>19</v>
      </c>
      <c r="K44" s="6" t="s">
        <v>19</v>
      </c>
      <c r="L44" s="6"/>
    </row>
    <row r="45" spans="1:13">
      <c r="A45" s="5">
        <v>45317</v>
      </c>
      <c r="B45" s="2" t="s">
        <v>90</v>
      </c>
      <c r="C45" s="6" t="s">
        <v>91</v>
      </c>
      <c r="D45" s="4">
        <v>60536</v>
      </c>
      <c r="E45" s="12">
        <v>0.65028335792493797</v>
      </c>
      <c r="F45" s="12">
        <v>2.3707137346424801E-3</v>
      </c>
      <c r="G45" s="6" t="s">
        <v>59</v>
      </c>
      <c r="H45" s="6" t="s">
        <v>19</v>
      </c>
      <c r="I45" s="6" t="s">
        <v>19</v>
      </c>
      <c r="J45" s="6" t="s">
        <v>19</v>
      </c>
      <c r="K45" s="6" t="s">
        <v>19</v>
      </c>
      <c r="L45" s="6"/>
    </row>
    <row r="46" spans="1:13">
      <c r="A46" s="5">
        <v>45317</v>
      </c>
      <c r="B46" s="2" t="s">
        <v>90</v>
      </c>
      <c r="C46" s="6" t="s">
        <v>91</v>
      </c>
      <c r="D46" s="4">
        <v>60537</v>
      </c>
      <c r="E46" s="7">
        <v>0.64366659383711344</v>
      </c>
      <c r="F46" s="7">
        <v>2.2718951307156843E-3</v>
      </c>
      <c r="G46" s="6" t="s">
        <v>59</v>
      </c>
      <c r="H46" s="6" t="s">
        <v>19</v>
      </c>
      <c r="I46" s="6" t="s">
        <v>19</v>
      </c>
      <c r="J46" s="6" t="s">
        <v>19</v>
      </c>
      <c r="K46" s="6" t="s">
        <v>19</v>
      </c>
      <c r="L46" s="6"/>
    </row>
    <row r="47" spans="1:13">
      <c r="A47" s="5">
        <v>45317</v>
      </c>
      <c r="B47" s="2" t="s">
        <v>90</v>
      </c>
      <c r="C47" s="6" t="s">
        <v>91</v>
      </c>
      <c r="D47" s="4">
        <v>60538</v>
      </c>
      <c r="E47" s="12">
        <v>0.66985578037390303</v>
      </c>
      <c r="F47" s="12">
        <v>2.69875131249586E-3</v>
      </c>
      <c r="G47" s="6" t="s">
        <v>59</v>
      </c>
      <c r="H47" s="6" t="s">
        <v>19</v>
      </c>
      <c r="I47" s="6" t="s">
        <v>19</v>
      </c>
      <c r="J47" s="6" t="s">
        <v>19</v>
      </c>
      <c r="K47" s="6" t="s">
        <v>19</v>
      </c>
      <c r="L47" s="6"/>
    </row>
    <row r="48" spans="1:13">
      <c r="A48" s="5">
        <v>45317</v>
      </c>
      <c r="B48" s="2" t="s">
        <v>90</v>
      </c>
      <c r="C48" s="6" t="s">
        <v>91</v>
      </c>
      <c r="D48" s="4">
        <v>60539</v>
      </c>
      <c r="E48" s="7">
        <v>0.68859269459228545</v>
      </c>
      <c r="F48" s="7">
        <v>1.9601265897815079E-3</v>
      </c>
      <c r="G48" s="6" t="s">
        <v>59</v>
      </c>
      <c r="H48" s="1" t="s">
        <v>93</v>
      </c>
      <c r="I48" s="6" t="s">
        <v>19</v>
      </c>
      <c r="J48" s="6" t="s">
        <v>19</v>
      </c>
      <c r="K48" s="6" t="s">
        <v>19</v>
      </c>
      <c r="L48" s="6"/>
    </row>
    <row r="49" spans="1:13">
      <c r="A49" s="5">
        <v>45670</v>
      </c>
      <c r="B49" s="2" t="s">
        <v>94</v>
      </c>
      <c r="C49" s="6" t="s">
        <v>95</v>
      </c>
      <c r="D49" s="4">
        <v>10956</v>
      </c>
      <c r="E49" s="7">
        <v>0.50101706464122164</v>
      </c>
      <c r="F49" s="7">
        <v>0</v>
      </c>
      <c r="G49" s="6" t="s">
        <v>96</v>
      </c>
      <c r="H49" s="6" t="s">
        <v>19</v>
      </c>
      <c r="I49" s="16" t="s">
        <v>97</v>
      </c>
      <c r="J49" s="16" t="s">
        <v>97</v>
      </c>
      <c r="K49" s="16" t="s">
        <v>97</v>
      </c>
      <c r="L49" s="16"/>
      <c r="M49" s="17" t="s">
        <v>98</v>
      </c>
    </row>
    <row r="50" spans="1:13">
      <c r="A50" s="5">
        <v>45317</v>
      </c>
      <c r="B50" s="2" t="s">
        <v>90</v>
      </c>
      <c r="C50" s="6" t="s">
        <v>95</v>
      </c>
      <c r="D50" s="4">
        <v>10639</v>
      </c>
      <c r="E50" s="15">
        <f>1/24712.1*10000</f>
        <v>0.40466006531213461</v>
      </c>
      <c r="F50" s="7">
        <v>0</v>
      </c>
      <c r="G50" s="6" t="s">
        <v>96</v>
      </c>
      <c r="H50" s="8" t="s">
        <v>99</v>
      </c>
      <c r="I50" s="16" t="s">
        <v>100</v>
      </c>
      <c r="J50" s="16" t="s">
        <v>100</v>
      </c>
      <c r="K50" s="16" t="s">
        <v>100</v>
      </c>
      <c r="L50" s="16"/>
      <c r="M50" s="10" t="s">
        <v>101</v>
      </c>
    </row>
    <row r="51" spans="1:13">
      <c r="A51" s="5">
        <v>45317</v>
      </c>
      <c r="B51" s="2" t="s">
        <v>90</v>
      </c>
      <c r="C51" s="6" t="s">
        <v>95</v>
      </c>
      <c r="D51" s="4">
        <v>10629</v>
      </c>
      <c r="E51" s="15">
        <f>1/25727.3*10000</f>
        <v>0.38869216746413343</v>
      </c>
      <c r="F51" s="7">
        <v>0</v>
      </c>
      <c r="G51" s="6" t="s">
        <v>96</v>
      </c>
      <c r="H51" s="18" t="s">
        <v>102</v>
      </c>
      <c r="I51" s="6" t="s">
        <v>19</v>
      </c>
      <c r="J51" s="6" t="s">
        <v>19</v>
      </c>
      <c r="K51" s="16" t="s">
        <v>103</v>
      </c>
      <c r="L51" s="16"/>
      <c r="M51" s="10" t="s">
        <v>104</v>
      </c>
    </row>
    <row r="52" spans="1:13">
      <c r="A52" s="5">
        <v>45317</v>
      </c>
      <c r="B52" s="2" t="s">
        <v>90</v>
      </c>
      <c r="C52" s="6" t="s">
        <v>95</v>
      </c>
      <c r="D52" s="4">
        <v>10641</v>
      </c>
      <c r="E52" s="15">
        <f>1/24749.8*10000</f>
        <v>0.40404366903974986</v>
      </c>
      <c r="F52" s="7">
        <v>0</v>
      </c>
      <c r="G52" s="6" t="s">
        <v>96</v>
      </c>
      <c r="H52" s="18" t="s">
        <v>105</v>
      </c>
      <c r="I52" s="16" t="s">
        <v>106</v>
      </c>
      <c r="J52" s="16" t="s">
        <v>106</v>
      </c>
      <c r="K52" s="16" t="s">
        <v>106</v>
      </c>
      <c r="L52" s="16"/>
      <c r="M52" s="10" t="s">
        <v>98</v>
      </c>
    </row>
    <row r="53" spans="1:13">
      <c r="A53" s="5">
        <v>45670</v>
      </c>
      <c r="B53" s="2" t="s">
        <v>94</v>
      </c>
      <c r="C53" s="6" t="s">
        <v>95</v>
      </c>
      <c r="D53" s="4">
        <v>10952</v>
      </c>
      <c r="E53" s="7">
        <v>0.53366918914303396</v>
      </c>
      <c r="F53" s="7">
        <v>0</v>
      </c>
      <c r="G53" s="6" t="s">
        <v>96</v>
      </c>
      <c r="H53" s="6" t="s">
        <v>19</v>
      </c>
      <c r="I53" s="6" t="s">
        <v>107</v>
      </c>
      <c r="J53" s="6" t="s">
        <v>107</v>
      </c>
      <c r="K53" s="6" t="s">
        <v>107</v>
      </c>
      <c r="L53" s="6"/>
      <c r="M53" s="10" t="s">
        <v>98</v>
      </c>
    </row>
    <row r="54" spans="1:13">
      <c r="A54" s="5">
        <v>45670</v>
      </c>
      <c r="B54" s="2" t="s">
        <v>94</v>
      </c>
      <c r="C54" s="6" t="s">
        <v>95</v>
      </c>
      <c r="D54" s="4">
        <v>10955</v>
      </c>
      <c r="E54" s="7">
        <v>0.4057552322137194</v>
      </c>
      <c r="F54" s="7">
        <v>0</v>
      </c>
      <c r="G54" s="6" t="s">
        <v>96</v>
      </c>
      <c r="H54" s="6" t="s">
        <v>19</v>
      </c>
      <c r="I54" s="6" t="s">
        <v>108</v>
      </c>
      <c r="J54" s="6" t="s">
        <v>108</v>
      </c>
      <c r="K54" s="6" t="s">
        <v>109</v>
      </c>
      <c r="L54" s="6"/>
      <c r="M54" s="10" t="s">
        <v>101</v>
      </c>
    </row>
    <row r="55" spans="1:13">
      <c r="A55" s="5">
        <v>45429</v>
      </c>
      <c r="B55" s="2" t="s">
        <v>13</v>
      </c>
      <c r="C55" s="6" t="s">
        <v>14</v>
      </c>
      <c r="D55" s="4">
        <v>1</v>
      </c>
      <c r="E55" s="7">
        <v>0</v>
      </c>
      <c r="F55" s="7">
        <v>0</v>
      </c>
      <c r="G55" s="6" t="s">
        <v>15</v>
      </c>
      <c r="H55" s="8" t="s">
        <v>16</v>
      </c>
      <c r="I55" s="6" t="s">
        <v>17</v>
      </c>
      <c r="J55" s="6" t="s">
        <v>17</v>
      </c>
      <c r="K55" s="6" t="s">
        <v>17</v>
      </c>
      <c r="L55" s="6" t="s">
        <v>17</v>
      </c>
    </row>
    <row r="56" spans="1:13">
      <c r="A56" s="5">
        <v>45429</v>
      </c>
      <c r="B56" s="2" t="s">
        <v>13</v>
      </c>
      <c r="C56" s="6" t="s">
        <v>123</v>
      </c>
      <c r="D56" s="4">
        <v>2</v>
      </c>
      <c r="E56" s="7">
        <v>0</v>
      </c>
      <c r="F56" s="7">
        <v>0</v>
      </c>
      <c r="G56" s="6" t="s">
        <v>15</v>
      </c>
      <c r="H56" s="8" t="s">
        <v>18</v>
      </c>
      <c r="I56" s="6" t="s">
        <v>19</v>
      </c>
      <c r="J56" s="6" t="s">
        <v>19</v>
      </c>
      <c r="K56" s="6" t="s">
        <v>19</v>
      </c>
      <c r="L56" s="6" t="s">
        <v>20</v>
      </c>
      <c r="M56" s="10" t="s">
        <v>21</v>
      </c>
    </row>
    <row r="57" spans="1:13">
      <c r="A57" s="5">
        <v>45429</v>
      </c>
      <c r="B57" s="2" t="s">
        <v>13</v>
      </c>
      <c r="C57" s="6" t="s">
        <v>123</v>
      </c>
      <c r="D57" s="4">
        <v>3</v>
      </c>
      <c r="E57" s="7">
        <v>0</v>
      </c>
      <c r="F57" s="7">
        <v>0</v>
      </c>
      <c r="G57" s="6" t="s">
        <v>15</v>
      </c>
      <c r="H57" s="8" t="s">
        <v>22</v>
      </c>
      <c r="I57" s="6" t="s">
        <v>23</v>
      </c>
      <c r="J57" s="6" t="s">
        <v>23</v>
      </c>
      <c r="K57" s="6" t="s">
        <v>23</v>
      </c>
      <c r="L57" s="6" t="s">
        <v>23</v>
      </c>
    </row>
    <row r="58" spans="1:13">
      <c r="A58" s="5">
        <v>45429</v>
      </c>
      <c r="B58" s="2" t="s">
        <v>13</v>
      </c>
      <c r="C58" s="6" t="s">
        <v>14</v>
      </c>
      <c r="D58" s="4">
        <v>4</v>
      </c>
      <c r="E58" s="7">
        <v>0</v>
      </c>
      <c r="F58" s="7">
        <v>0</v>
      </c>
      <c r="G58" s="6" t="s">
        <v>15</v>
      </c>
      <c r="H58" s="8" t="s">
        <v>24</v>
      </c>
      <c r="I58" s="6" t="s">
        <v>25</v>
      </c>
      <c r="J58" s="6" t="s">
        <v>25</v>
      </c>
      <c r="K58" s="6" t="s">
        <v>25</v>
      </c>
      <c r="L58" s="6" t="s">
        <v>25</v>
      </c>
    </row>
    <row r="59" spans="1:13">
      <c r="A59" s="5">
        <v>45429</v>
      </c>
      <c r="B59" s="2" t="s">
        <v>13</v>
      </c>
      <c r="C59" s="6" t="s">
        <v>14</v>
      </c>
      <c r="D59" s="4">
        <v>5</v>
      </c>
      <c r="E59" s="7">
        <v>0</v>
      </c>
      <c r="F59" s="7">
        <v>0</v>
      </c>
      <c r="G59" s="6" t="s">
        <v>15</v>
      </c>
      <c r="H59" s="8" t="s">
        <v>26</v>
      </c>
      <c r="I59" s="6" t="s">
        <v>27</v>
      </c>
      <c r="J59" s="6" t="s">
        <v>27</v>
      </c>
      <c r="K59" s="6" t="s">
        <v>27</v>
      </c>
      <c r="L59" s="6" t="s">
        <v>27</v>
      </c>
    </row>
    <row r="60" spans="1:13">
      <c r="A60" s="5">
        <v>45659</v>
      </c>
      <c r="B60" s="6" t="s">
        <v>110</v>
      </c>
      <c r="C60" s="6" t="s">
        <v>91</v>
      </c>
      <c r="D60" s="6">
        <v>65447</v>
      </c>
      <c r="E60" s="12">
        <v>0.69843266180615804</v>
      </c>
      <c r="F60" s="12">
        <v>2.68934889161021E-3</v>
      </c>
      <c r="G60" s="6" t="s">
        <v>59</v>
      </c>
      <c r="H60" s="6" t="s">
        <v>19</v>
      </c>
      <c r="I60" s="6" t="s">
        <v>19</v>
      </c>
      <c r="J60" s="6" t="s">
        <v>19</v>
      </c>
      <c r="K60" s="6" t="s">
        <v>19</v>
      </c>
      <c r="L60" s="6"/>
    </row>
    <row r="61" spans="1:13">
      <c r="A61" s="5">
        <v>45659</v>
      </c>
      <c r="B61" s="6" t="s">
        <v>110</v>
      </c>
      <c r="C61" s="6" t="s">
        <v>91</v>
      </c>
      <c r="D61" s="6">
        <v>65448</v>
      </c>
      <c r="E61" s="12">
        <v>0.69114817909075599</v>
      </c>
      <c r="F61" s="12">
        <v>4.0556655460866004E-3</v>
      </c>
      <c r="G61" s="6" t="s">
        <v>59</v>
      </c>
      <c r="H61" s="6" t="s">
        <v>19</v>
      </c>
      <c r="I61" s="6" t="s">
        <v>19</v>
      </c>
      <c r="J61" s="6" t="s">
        <v>19</v>
      </c>
      <c r="K61" s="6" t="s">
        <v>19</v>
      </c>
      <c r="L61" s="6"/>
    </row>
    <row r="62" spans="1:13">
      <c r="A62" s="5">
        <v>45659</v>
      </c>
      <c r="B62" s="6" t="s">
        <v>110</v>
      </c>
      <c r="C62" s="6" t="s">
        <v>91</v>
      </c>
      <c r="D62" s="6">
        <v>65473</v>
      </c>
      <c r="E62" s="12">
        <v>0.66595902591380995</v>
      </c>
      <c r="F62" s="12">
        <v>3.5738147713724102E-3</v>
      </c>
      <c r="G62" s="6" t="s">
        <v>59</v>
      </c>
      <c r="H62" s="6" t="s">
        <v>19</v>
      </c>
      <c r="I62" s="6" t="s">
        <v>19</v>
      </c>
      <c r="J62" s="6" t="s">
        <v>19</v>
      </c>
      <c r="K62" s="6" t="s">
        <v>19</v>
      </c>
      <c r="L62" s="6"/>
    </row>
    <row r="63" spans="1:13">
      <c r="A63" s="5">
        <v>45659</v>
      </c>
      <c r="B63" s="6" t="s">
        <v>110</v>
      </c>
      <c r="C63" s="6" t="s">
        <v>91</v>
      </c>
      <c r="D63" s="6">
        <v>65474</v>
      </c>
      <c r="E63" s="12">
        <v>0.68147614449885796</v>
      </c>
      <c r="F63" s="12">
        <v>3.3456565274303501E-3</v>
      </c>
      <c r="G63" s="6" t="s">
        <v>59</v>
      </c>
      <c r="H63" s="6" t="s">
        <v>19</v>
      </c>
      <c r="I63" s="6" t="s">
        <v>19</v>
      </c>
      <c r="J63" s="6" t="s">
        <v>19</v>
      </c>
      <c r="K63" s="6" t="s">
        <v>19</v>
      </c>
      <c r="L63" s="6"/>
    </row>
    <row r="64" spans="1:13">
      <c r="A64" s="5">
        <v>45659</v>
      </c>
      <c r="B64" s="6" t="s">
        <v>111</v>
      </c>
      <c r="C64" s="6" t="s">
        <v>112</v>
      </c>
      <c r="D64" s="6">
        <v>9894</v>
      </c>
      <c r="E64" s="6" t="s">
        <v>113</v>
      </c>
      <c r="F64" s="6" t="s">
        <v>113</v>
      </c>
      <c r="G64" s="6" t="s">
        <v>113</v>
      </c>
      <c r="H64" s="6" t="s">
        <v>19</v>
      </c>
      <c r="I64" s="6" t="s">
        <v>19</v>
      </c>
      <c r="J64" s="6" t="s">
        <v>19</v>
      </c>
      <c r="K64" s="6" t="s">
        <v>19</v>
      </c>
      <c r="L64" s="6"/>
    </row>
    <row r="65" spans="1:13">
      <c r="A65" s="5">
        <v>45670</v>
      </c>
      <c r="B65" s="2" t="s">
        <v>94</v>
      </c>
      <c r="C65" s="6" t="s">
        <v>95</v>
      </c>
      <c r="D65" s="19">
        <v>10954</v>
      </c>
      <c r="E65" s="7">
        <v>0.50679870462251098</v>
      </c>
      <c r="F65" s="7">
        <v>0</v>
      </c>
      <c r="G65" s="6" t="s">
        <v>96</v>
      </c>
      <c r="H65" s="6" t="s">
        <v>19</v>
      </c>
      <c r="I65" s="6" t="s">
        <v>114</v>
      </c>
      <c r="J65" s="6" t="s">
        <v>114</v>
      </c>
      <c r="K65" s="6" t="s">
        <v>114</v>
      </c>
      <c r="L65" s="6"/>
      <c r="M65" s="20" t="s">
        <v>115</v>
      </c>
    </row>
    <row r="66" spans="1:13">
      <c r="A66" s="5">
        <v>45317</v>
      </c>
      <c r="B66" s="2" t="s">
        <v>90</v>
      </c>
      <c r="C66" s="6" t="s">
        <v>95</v>
      </c>
      <c r="D66" s="21">
        <v>10638</v>
      </c>
      <c r="E66" s="15">
        <f>1/21728.8*10000</f>
        <v>0.4602186959243032</v>
      </c>
      <c r="F66" s="15">
        <v>0</v>
      </c>
      <c r="G66" s="6" t="s">
        <v>96</v>
      </c>
      <c r="H66" s="8" t="s">
        <v>116</v>
      </c>
      <c r="I66" s="6" t="s">
        <v>19</v>
      </c>
      <c r="J66" s="6" t="s">
        <v>19</v>
      </c>
      <c r="K66" s="6" t="s">
        <v>108</v>
      </c>
      <c r="L66" s="6"/>
      <c r="M66" s="22" t="s">
        <v>117</v>
      </c>
    </row>
    <row r="67" spans="1:13">
      <c r="A67" s="5">
        <v>45317</v>
      </c>
      <c r="B67" s="2" t="s">
        <v>90</v>
      </c>
      <c r="C67" s="6" t="s">
        <v>95</v>
      </c>
      <c r="D67" s="21">
        <v>10628</v>
      </c>
      <c r="E67" s="15">
        <f>1/25269*10000</f>
        <v>0.39574181803791209</v>
      </c>
      <c r="F67" s="7">
        <v>0</v>
      </c>
      <c r="G67" s="6" t="s">
        <v>96</v>
      </c>
      <c r="H67" s="18" t="s">
        <v>118</v>
      </c>
      <c r="I67" s="6" t="s">
        <v>19</v>
      </c>
      <c r="J67" s="6" t="s">
        <v>19</v>
      </c>
      <c r="K67" s="6" t="s">
        <v>19</v>
      </c>
      <c r="L67" s="6"/>
      <c r="M67" s="22" t="s">
        <v>119</v>
      </c>
    </row>
    <row r="68" spans="1:13">
      <c r="A68" s="5">
        <v>45317</v>
      </c>
      <c r="B68" s="2" t="s">
        <v>90</v>
      </c>
      <c r="C68" s="6" t="s">
        <v>95</v>
      </c>
      <c r="D68" s="21">
        <v>10640</v>
      </c>
      <c r="E68" s="15">
        <f>1/21505.4*10000</f>
        <v>0.46499948850056261</v>
      </c>
      <c r="F68" s="7">
        <v>0</v>
      </c>
      <c r="G68" s="6" t="s">
        <v>96</v>
      </c>
      <c r="H68" s="18" t="s">
        <v>120</v>
      </c>
      <c r="I68" s="16" t="s">
        <v>103</v>
      </c>
      <c r="J68" s="16" t="s">
        <v>103</v>
      </c>
      <c r="K68" s="6" t="s">
        <v>19</v>
      </c>
      <c r="L68" s="6"/>
      <c r="M68" s="22" t="s">
        <v>121</v>
      </c>
    </row>
    <row r="69" spans="1:13">
      <c r="A69" s="5">
        <v>45670</v>
      </c>
      <c r="B69" s="2" t="s">
        <v>94</v>
      </c>
      <c r="C69" s="6" t="s">
        <v>95</v>
      </c>
      <c r="D69" s="21">
        <v>10953</v>
      </c>
      <c r="E69" s="23">
        <v>0.43788972185244868</v>
      </c>
      <c r="F69" s="23">
        <v>0</v>
      </c>
      <c r="G69" s="24" t="s">
        <v>96</v>
      </c>
      <c r="H69" s="24" t="s">
        <v>19</v>
      </c>
      <c r="I69" s="24" t="s">
        <v>109</v>
      </c>
      <c r="J69" s="24" t="s">
        <v>109</v>
      </c>
      <c r="K69" s="6" t="s">
        <v>19</v>
      </c>
      <c r="L69" s="6"/>
      <c r="M69" s="25" t="s">
        <v>122</v>
      </c>
    </row>
    <row r="70" spans="1:13">
      <c r="A70" s="5">
        <v>45832</v>
      </c>
      <c r="B70" s="2" t="s">
        <v>28</v>
      </c>
      <c r="C70" s="6" t="s">
        <v>14</v>
      </c>
      <c r="D70" s="4">
        <v>240851</v>
      </c>
      <c r="E70" s="7">
        <v>0</v>
      </c>
      <c r="F70" s="7">
        <v>0</v>
      </c>
      <c r="G70" s="6" t="s">
        <v>15</v>
      </c>
      <c r="H70" s="6" t="s">
        <v>19</v>
      </c>
      <c r="I70" s="6" t="s">
        <v>29</v>
      </c>
      <c r="J70" s="6" t="s">
        <v>29</v>
      </c>
      <c r="K70" s="6" t="s">
        <v>29</v>
      </c>
      <c r="L70" s="6" t="s">
        <v>29</v>
      </c>
    </row>
    <row r="71" spans="1:13">
      <c r="A71" s="5">
        <v>45832</v>
      </c>
      <c r="B71" s="2" t="s">
        <v>28</v>
      </c>
      <c r="C71" s="6" t="s">
        <v>14</v>
      </c>
      <c r="D71" s="4">
        <v>240852</v>
      </c>
      <c r="E71" s="7">
        <v>0</v>
      </c>
      <c r="F71" s="7">
        <v>0</v>
      </c>
      <c r="G71" s="6" t="s">
        <v>15</v>
      </c>
      <c r="H71" s="6" t="s">
        <v>19</v>
      </c>
      <c r="I71" s="6" t="s">
        <v>30</v>
      </c>
      <c r="J71" s="6" t="s">
        <v>30</v>
      </c>
      <c r="K71" s="6" t="s">
        <v>30</v>
      </c>
      <c r="L71" s="6" t="s">
        <v>30</v>
      </c>
    </row>
    <row r="72" spans="1:13">
      <c r="A72" s="5">
        <v>45832</v>
      </c>
      <c r="B72" s="2" t="s">
        <v>28</v>
      </c>
      <c r="C72" s="6" t="s">
        <v>14</v>
      </c>
      <c r="D72" s="4">
        <v>240853</v>
      </c>
      <c r="E72" s="7">
        <v>0</v>
      </c>
      <c r="F72" s="7">
        <v>0</v>
      </c>
      <c r="G72" s="6" t="s">
        <v>15</v>
      </c>
      <c r="H72" s="6" t="s">
        <v>19</v>
      </c>
      <c r="I72" s="6" t="s">
        <v>31</v>
      </c>
      <c r="J72" s="6" t="s">
        <v>31</v>
      </c>
      <c r="K72" s="6" t="s">
        <v>31</v>
      </c>
      <c r="L72" s="6" t="s">
        <v>31</v>
      </c>
    </row>
    <row r="73" spans="1:13">
      <c r="A73" s="5">
        <v>45832</v>
      </c>
      <c r="B73" s="2" t="s">
        <v>28</v>
      </c>
      <c r="C73" s="6" t="s">
        <v>14</v>
      </c>
      <c r="D73" s="4">
        <v>240854</v>
      </c>
      <c r="E73" s="7">
        <v>0</v>
      </c>
      <c r="F73" s="7">
        <v>0</v>
      </c>
      <c r="G73" s="6" t="s">
        <v>15</v>
      </c>
      <c r="H73" s="6" t="s">
        <v>19</v>
      </c>
      <c r="I73" s="6" t="s">
        <v>32</v>
      </c>
      <c r="J73" s="6" t="s">
        <v>32</v>
      </c>
      <c r="K73" s="6" t="s">
        <v>32</v>
      </c>
      <c r="L73" s="6" t="s">
        <v>32</v>
      </c>
    </row>
    <row r="74" spans="1:13">
      <c r="A74" s="5">
        <v>45832</v>
      </c>
      <c r="B74" s="2" t="s">
        <v>28</v>
      </c>
      <c r="C74" s="6" t="s">
        <v>14</v>
      </c>
      <c r="D74" s="4">
        <v>240855</v>
      </c>
      <c r="E74" s="7">
        <v>0</v>
      </c>
      <c r="F74" s="7">
        <v>0</v>
      </c>
      <c r="G74" s="6" t="s">
        <v>15</v>
      </c>
      <c r="H74" s="6" t="s">
        <v>19</v>
      </c>
      <c r="I74" s="6" t="s">
        <v>33</v>
      </c>
      <c r="J74" s="6" t="s">
        <v>33</v>
      </c>
      <c r="K74" s="6" t="s">
        <v>33</v>
      </c>
      <c r="L74" s="6" t="s">
        <v>33</v>
      </c>
    </row>
    <row r="75" spans="1:13">
      <c r="A75" s="5">
        <v>45832</v>
      </c>
      <c r="B75" s="2" t="s">
        <v>28</v>
      </c>
      <c r="C75" s="6" t="s">
        <v>14</v>
      </c>
      <c r="D75" s="4">
        <v>240856</v>
      </c>
      <c r="E75" s="7">
        <v>0</v>
      </c>
      <c r="F75" s="7">
        <v>0</v>
      </c>
      <c r="G75" s="6" t="s">
        <v>15</v>
      </c>
      <c r="H75" s="6" t="s">
        <v>19</v>
      </c>
      <c r="I75" s="6" t="s">
        <v>34</v>
      </c>
      <c r="J75" s="6" t="s">
        <v>34</v>
      </c>
      <c r="K75" s="6" t="s">
        <v>34</v>
      </c>
      <c r="L75" s="6" t="s">
        <v>34</v>
      </c>
    </row>
    <row r="76" spans="1:13">
      <c r="A76" s="5">
        <v>45832</v>
      </c>
      <c r="B76" s="2" t="s">
        <v>28</v>
      </c>
      <c r="C76" s="6" t="s">
        <v>14</v>
      </c>
      <c r="D76" s="4">
        <v>240857</v>
      </c>
      <c r="E76" s="7">
        <v>0</v>
      </c>
      <c r="F76" s="7">
        <v>0</v>
      </c>
      <c r="G76" s="6" t="s">
        <v>15</v>
      </c>
      <c r="H76" s="6" t="s">
        <v>19</v>
      </c>
      <c r="I76" s="6" t="s">
        <v>35</v>
      </c>
      <c r="J76" s="6" t="s">
        <v>35</v>
      </c>
      <c r="K76" s="6" t="s">
        <v>35</v>
      </c>
      <c r="L76" s="6" t="s">
        <v>35</v>
      </c>
    </row>
    <row r="77" spans="1:13">
      <c r="A77" s="5">
        <v>45832</v>
      </c>
      <c r="B77" s="2" t="s">
        <v>28</v>
      </c>
      <c r="C77" s="6" t="s">
        <v>14</v>
      </c>
      <c r="D77" s="4">
        <v>240858</v>
      </c>
      <c r="E77" s="7">
        <v>0</v>
      </c>
      <c r="F77" s="7">
        <v>0</v>
      </c>
      <c r="G77" s="6" t="s">
        <v>15</v>
      </c>
      <c r="H77" s="6" t="s">
        <v>19</v>
      </c>
      <c r="I77" s="6" t="s">
        <v>36</v>
      </c>
      <c r="J77" s="6" t="s">
        <v>36</v>
      </c>
      <c r="K77" s="6" t="s">
        <v>36</v>
      </c>
      <c r="L77" s="6" t="s">
        <v>36</v>
      </c>
    </row>
    <row r="78" spans="1:13">
      <c r="A78" s="5">
        <v>45832</v>
      </c>
      <c r="B78" s="2" t="s">
        <v>28</v>
      </c>
      <c r="C78" s="6" t="s">
        <v>14</v>
      </c>
      <c r="D78" s="4">
        <v>240859</v>
      </c>
      <c r="E78" s="7">
        <v>0</v>
      </c>
      <c r="F78" s="7">
        <v>0</v>
      </c>
      <c r="G78" s="6" t="s">
        <v>15</v>
      </c>
      <c r="H78" s="6" t="s">
        <v>19</v>
      </c>
      <c r="I78" s="6" t="s">
        <v>37</v>
      </c>
      <c r="J78" s="6" t="s">
        <v>37</v>
      </c>
      <c r="K78" s="6" t="s">
        <v>37</v>
      </c>
      <c r="L78" s="6" t="s">
        <v>38</v>
      </c>
    </row>
    <row r="79" spans="1:13">
      <c r="A79" s="5">
        <v>45832</v>
      </c>
      <c r="B79" s="2" t="s">
        <v>28</v>
      </c>
      <c r="C79" s="6" t="s">
        <v>14</v>
      </c>
      <c r="D79" s="4">
        <v>2408510</v>
      </c>
      <c r="E79" s="7">
        <v>0</v>
      </c>
      <c r="F79" s="7">
        <v>0</v>
      </c>
      <c r="G79" s="6" t="s">
        <v>15</v>
      </c>
      <c r="H79" s="6" t="s">
        <v>19</v>
      </c>
      <c r="I79" s="6" t="s">
        <v>39</v>
      </c>
      <c r="J79" s="6" t="s">
        <v>39</v>
      </c>
      <c r="K79" s="6" t="s">
        <v>39</v>
      </c>
      <c r="L79" s="6" t="s">
        <v>38</v>
      </c>
    </row>
    <row r="80" spans="1:13">
      <c r="A80" s="5">
        <v>45832</v>
      </c>
      <c r="B80" s="2" t="s">
        <v>28</v>
      </c>
      <c r="C80" s="6" t="s">
        <v>14</v>
      </c>
      <c r="D80" s="4">
        <v>2408511</v>
      </c>
      <c r="E80" s="7">
        <v>0</v>
      </c>
      <c r="F80" s="7">
        <v>0</v>
      </c>
      <c r="G80" s="6" t="s">
        <v>15</v>
      </c>
      <c r="H80" s="6" t="s">
        <v>19</v>
      </c>
      <c r="I80" s="6" t="s">
        <v>40</v>
      </c>
      <c r="J80" s="6" t="s">
        <v>40</v>
      </c>
      <c r="K80" s="6" t="s">
        <v>40</v>
      </c>
      <c r="L80" s="6" t="s">
        <v>38</v>
      </c>
    </row>
    <row r="81" spans="1:12">
      <c r="A81" s="5">
        <v>45832</v>
      </c>
      <c r="B81" s="2" t="s">
        <v>28</v>
      </c>
      <c r="C81" s="6" t="s">
        <v>14</v>
      </c>
      <c r="D81" s="4">
        <v>2408512</v>
      </c>
      <c r="E81" s="7">
        <v>0</v>
      </c>
      <c r="F81" s="7">
        <v>0</v>
      </c>
      <c r="G81" s="6" t="s">
        <v>15</v>
      </c>
      <c r="H81" s="6" t="s">
        <v>19</v>
      </c>
      <c r="I81" s="6" t="s">
        <v>41</v>
      </c>
      <c r="J81" s="6" t="s">
        <v>41</v>
      </c>
      <c r="K81" s="6" t="s">
        <v>41</v>
      </c>
      <c r="L81" s="6" t="s">
        <v>38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</dc:creator>
  <cp:lastModifiedBy>APL</cp:lastModifiedBy>
  <dcterms:created xsi:type="dcterms:W3CDTF">2026-01-21T07:42:53Z</dcterms:created>
  <dcterms:modified xsi:type="dcterms:W3CDTF">2026-01-21T08:44:49Z</dcterms:modified>
</cp:coreProperties>
</file>