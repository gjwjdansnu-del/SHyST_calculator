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heojeongmu/Dropbox (개인용) (1)/시흥 실험실/06. Labview log/pitot and tube pci/251002 exp#142 HHC Al 5T #173 driven 0.2barg He M6.8 2.5MHz FL200x2 300-450 TC/"/>
    </mc:Choice>
  </mc:AlternateContent>
  <xr:revisionPtr revIDLastSave="0" documentId="13_ncr:1_{E5E0BF7B-16C6-9F43-B34C-EB7E86337B4C}" xr6:coauthVersionLast="47" xr6:coauthVersionMax="47" xr10:uidLastSave="{00000000-0000-0000-0000-000000000000}"/>
  <bookViews>
    <workbookView xWindow="22980" yWindow="-22920" windowWidth="25600" windowHeight="28300" xr2:uid="{169D8B9F-7934-304A-A99D-49169B7837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8" i="1"/>
  <c r="F7" i="1"/>
  <c r="F5" i="1"/>
</calcChain>
</file>

<file path=xl/sharedStrings.xml><?xml version="1.0" encoding="utf-8"?>
<sst xmlns="http://schemas.openxmlformats.org/spreadsheetml/2006/main" count="113" uniqueCount="32">
  <si>
    <t>#</t>
    <phoneticPr fontId="1" type="noConversion"/>
  </si>
  <si>
    <t>T</t>
    <phoneticPr fontId="1" type="noConversion"/>
  </si>
  <si>
    <t>X</t>
    <phoneticPr fontId="1" type="noConversion"/>
  </si>
  <si>
    <t>P</t>
    <phoneticPr fontId="1" type="noConversion"/>
  </si>
  <si>
    <t>SN</t>
    <phoneticPr fontId="3" type="noConversion"/>
  </si>
  <si>
    <t>PN</t>
    <phoneticPr fontId="3" type="noConversion"/>
  </si>
  <si>
    <t>medtherm thermocouple</t>
    <phoneticPr fontId="3" type="noConversion"/>
  </si>
  <si>
    <t>k type thermocouple</t>
    <phoneticPr fontId="3" type="noConversion"/>
  </si>
  <si>
    <t xml:space="preserve">PCB 113B22 </t>
    <phoneticPr fontId="3" type="noConversion"/>
  </si>
  <si>
    <t xml:space="preserve">sensys PMHD0300BDPA-FC </t>
    <phoneticPr fontId="3" type="noConversion"/>
  </si>
  <si>
    <t>PCB 132B38</t>
    <phoneticPr fontId="3" type="noConversion"/>
  </si>
  <si>
    <t>X6B840</t>
    <phoneticPr fontId="3" type="noConversion"/>
  </si>
  <si>
    <t>E</t>
    <phoneticPr fontId="1" type="noConversion"/>
  </si>
  <si>
    <t>aV+b</t>
    <phoneticPr fontId="1" type="noConversion"/>
  </si>
  <si>
    <t>p_t+a(V-c)+b</t>
    <phoneticPr fontId="1" type="noConversion"/>
  </si>
  <si>
    <t>p_a+aV+b</t>
    <phoneticPr fontId="1" type="noConversion"/>
  </si>
  <si>
    <t>a(V-c)</t>
    <phoneticPr fontId="1" type="noConversion"/>
  </si>
  <si>
    <t>cal</t>
    <phoneticPr fontId="1" type="noConversion"/>
  </si>
  <si>
    <t>type</t>
    <phoneticPr fontId="1" type="noConversion"/>
  </si>
  <si>
    <t>etc</t>
    <phoneticPr fontId="1" type="noConversion"/>
  </si>
  <si>
    <t>model</t>
    <phoneticPr fontId="1" type="noConversion"/>
  </si>
  <si>
    <t>driver</t>
    <phoneticPr fontId="1" type="noConversion"/>
  </si>
  <si>
    <t>driven7</t>
    <phoneticPr fontId="1" type="noConversion"/>
  </si>
  <si>
    <t>driven8</t>
    <phoneticPr fontId="1" type="noConversion"/>
  </si>
  <si>
    <t>drivenT</t>
    <phoneticPr fontId="1" type="noConversion"/>
  </si>
  <si>
    <t>model front</t>
    <phoneticPr fontId="1" type="noConversion"/>
  </si>
  <si>
    <t>a</t>
    <phoneticPr fontId="3" type="noConversion"/>
  </si>
  <si>
    <t>b</t>
    <phoneticPr fontId="3" type="noConversion"/>
  </si>
  <si>
    <t>filter</t>
    <phoneticPr fontId="1" type="noConversion"/>
  </si>
  <si>
    <t>MA</t>
    <phoneticPr fontId="1" type="noConversion"/>
  </si>
  <si>
    <t>BP</t>
    <phoneticPr fontId="1" type="noConversion"/>
  </si>
  <si>
    <t>LP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</si>
</sst>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00000000.E+00"/>
    <numFmt numFmtId="177" formatCode="0.00000000000000000"/>
  </numFmts>
  <fonts count="6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color rgb="FF000000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76" fontId="5" fillId="2" borderId="0" xfId="0" applyNumberFormat="1" applyFont="1" applyFill="1" applyAlignment="1">
      <alignment horizontal="center" vertical="center"/>
    </xf>
    <xf numFmtId="176" fontId="0" fillId="2" borderId="0" xfId="0" applyNumberFormat="1" applyFill="1" applyAlignment="1">
      <alignment horizontal="center"/>
    </xf>
    <xf numFmtId="176" fontId="2" fillId="2" borderId="0" xfId="0" applyNumberFormat="1" applyFont="1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Alignment="1"/>
    <xf numFmtId="176" fontId="5" fillId="3" borderId="0" xfId="0" applyNumberFormat="1" applyFont="1" applyFill="1" applyAlignment="1">
      <alignment horizontal="center" vertical="center"/>
    </xf>
    <xf numFmtId="176" fontId="0" fillId="3" borderId="0" xfId="0" applyNumberFormat="1" applyFill="1" applyAlignment="1">
      <alignment horizontal="center"/>
    </xf>
    <xf numFmtId="176" fontId="2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177" fontId="0" fillId="4" borderId="0" xfId="0" applyNumberFormat="1" applyFill="1" applyAlignment="1">
      <alignment horizontal="center"/>
    </xf>
    <xf numFmtId="177" fontId="2" fillId="0" borderId="0" xfId="0" applyNumberFormat="1" applyFont="1" applyAlignment="1">
      <alignment horizontal="center"/>
    </xf>
    <xf numFmtId="177" fontId="0" fillId="0" borderId="0" xfId="0" applyNumberFormat="1" applyAlignment="1">
      <alignment horizontal="center"/>
    </xf>
    <xf numFmtId="177" fontId="5" fillId="0" borderId="0" xfId="0" applyNumberFormat="1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3BD68-6B2E-414F-8607-CE5552EB1760}">
  <dimension ref="A1:I25"/>
  <sheetViews>
    <sheetView tabSelected="1" workbookViewId="0">
      <selection activeCell="C32" sqref="C32"/>
    </sheetView>
  </sheetViews>
  <sheetFormatPr baseColWidth="10" defaultColWidth="10.7109375" defaultRowHeight="18"/>
  <cols>
    <col min="1" max="1" width="3.7109375" style="1" bestFit="1" customWidth="1"/>
    <col min="2" max="2" width="5" style="1" bestFit="1" customWidth="1"/>
    <col min="3" max="3" width="25.140625" style="1" bestFit="1" customWidth="1"/>
    <col min="4" max="4" width="7.7109375" style="1" bestFit="1" customWidth="1"/>
    <col min="5" max="5" width="12" style="1" bestFit="1" customWidth="1"/>
    <col min="6" max="6" width="22.42578125" style="1" bestFit="1" customWidth="1"/>
    <col min="7" max="7" width="23.28515625" style="1" bestFit="1" customWidth="1"/>
    <col min="8" max="8" width="10.85546875" style="1" bestFit="1" customWidth="1"/>
    <col min="9" max="16384" width="10.7109375" style="1"/>
  </cols>
  <sheetData>
    <row r="1" spans="1:9">
      <c r="A1" s="1" t="s">
        <v>0</v>
      </c>
      <c r="B1" s="1" t="s">
        <v>18</v>
      </c>
      <c r="C1" s="2" t="s">
        <v>5</v>
      </c>
      <c r="D1" s="2" t="s">
        <v>4</v>
      </c>
      <c r="E1" s="1" t="s">
        <v>17</v>
      </c>
      <c r="F1" s="2" t="s">
        <v>26</v>
      </c>
      <c r="G1" s="2" t="s">
        <v>27</v>
      </c>
      <c r="H1" s="1" t="s">
        <v>19</v>
      </c>
      <c r="I1" s="1" t="s">
        <v>28</v>
      </c>
    </row>
    <row r="2" spans="1:9">
      <c r="A2" s="3">
        <v>0</v>
      </c>
      <c r="B2" s="17" t="s">
        <v>3</v>
      </c>
      <c r="C2" s="18" t="s">
        <v>10</v>
      </c>
      <c r="D2" s="19">
        <v>10952</v>
      </c>
      <c r="E2" s="17" t="s">
        <v>16</v>
      </c>
      <c r="F2" s="22">
        <v>0.53366918914303396</v>
      </c>
      <c r="G2" s="20">
        <v>0</v>
      </c>
      <c r="H2" s="17" t="s">
        <v>25</v>
      </c>
      <c r="I2" s="1" t="s">
        <v>30</v>
      </c>
    </row>
    <row r="3" spans="1:9">
      <c r="A3" s="3">
        <v>1</v>
      </c>
      <c r="B3" s="17" t="s">
        <v>3</v>
      </c>
      <c r="C3" s="18" t="s">
        <v>10</v>
      </c>
      <c r="D3" s="19">
        <v>10953</v>
      </c>
      <c r="E3" s="17" t="s">
        <v>16</v>
      </c>
      <c r="F3" s="22">
        <v>0.4057552322137194</v>
      </c>
      <c r="G3" s="20">
        <v>0</v>
      </c>
      <c r="H3" s="17" t="s">
        <v>20</v>
      </c>
      <c r="I3" s="1" t="s">
        <v>30</v>
      </c>
    </row>
    <row r="4" spans="1:9">
      <c r="A4" s="3">
        <v>2</v>
      </c>
      <c r="B4" s="17" t="s">
        <v>3</v>
      </c>
      <c r="C4" s="18" t="s">
        <v>10</v>
      </c>
      <c r="D4" s="19">
        <v>10954</v>
      </c>
      <c r="E4" s="17" t="s">
        <v>16</v>
      </c>
      <c r="F4" s="22">
        <v>0.50679870462251098</v>
      </c>
      <c r="G4" s="20">
        <v>0</v>
      </c>
      <c r="H4" s="17" t="s">
        <v>20</v>
      </c>
      <c r="I4" s="1" t="s">
        <v>30</v>
      </c>
    </row>
    <row r="5" spans="1:9">
      <c r="A5" s="3">
        <v>3</v>
      </c>
      <c r="B5" s="17" t="s">
        <v>3</v>
      </c>
      <c r="C5" s="18" t="s">
        <v>10</v>
      </c>
      <c r="D5" s="19">
        <v>10955</v>
      </c>
      <c r="E5" s="17" t="s">
        <v>16</v>
      </c>
      <c r="F5" s="23">
        <f>1/21728.8*10000</f>
        <v>0.4602186959243032</v>
      </c>
      <c r="G5" s="20">
        <v>0</v>
      </c>
      <c r="H5" s="17" t="s">
        <v>20</v>
      </c>
      <c r="I5" s="1" t="s">
        <v>30</v>
      </c>
    </row>
    <row r="6" spans="1:9">
      <c r="A6" s="3">
        <v>4</v>
      </c>
      <c r="B6" s="17" t="s">
        <v>3</v>
      </c>
      <c r="C6" s="18" t="s">
        <v>10</v>
      </c>
      <c r="D6" s="19">
        <v>10956</v>
      </c>
      <c r="E6" s="17" t="s">
        <v>16</v>
      </c>
      <c r="F6" s="22">
        <v>0.50101706464122164</v>
      </c>
      <c r="G6" s="20">
        <v>0</v>
      </c>
      <c r="H6" s="17" t="s">
        <v>20</v>
      </c>
      <c r="I6" s="1" t="s">
        <v>30</v>
      </c>
    </row>
    <row r="7" spans="1:9">
      <c r="A7" s="3">
        <v>5</v>
      </c>
      <c r="B7" s="17" t="s">
        <v>3</v>
      </c>
      <c r="C7" s="18" t="s">
        <v>10</v>
      </c>
      <c r="D7" s="19">
        <v>10639</v>
      </c>
      <c r="E7" s="17" t="s">
        <v>16</v>
      </c>
      <c r="F7" s="23">
        <f>1/24712.1*10000</f>
        <v>0.40466006531213461</v>
      </c>
      <c r="G7" s="20">
        <v>0</v>
      </c>
      <c r="H7" s="17" t="s">
        <v>20</v>
      </c>
      <c r="I7" s="1" t="s">
        <v>30</v>
      </c>
    </row>
    <row r="8" spans="1:9">
      <c r="A8" s="3">
        <v>6</v>
      </c>
      <c r="B8" s="17" t="s">
        <v>3</v>
      </c>
      <c r="C8" s="18" t="s">
        <v>10</v>
      </c>
      <c r="D8" s="19">
        <v>10640</v>
      </c>
      <c r="E8" s="17" t="s">
        <v>16</v>
      </c>
      <c r="F8" s="23">
        <f>1/25727.3*10000</f>
        <v>0.38869216746413343</v>
      </c>
      <c r="G8" s="20">
        <v>0</v>
      </c>
      <c r="H8" s="17" t="s">
        <v>20</v>
      </c>
      <c r="I8" s="1" t="s">
        <v>30</v>
      </c>
    </row>
    <row r="9" spans="1:9">
      <c r="A9" s="3">
        <v>7</v>
      </c>
      <c r="B9" s="17" t="s">
        <v>3</v>
      </c>
      <c r="C9" s="18" t="s">
        <v>10</v>
      </c>
      <c r="D9" s="19">
        <v>10641</v>
      </c>
      <c r="E9" s="17" t="s">
        <v>16</v>
      </c>
      <c r="F9" s="23">
        <f>1/24749.8*10000</f>
        <v>0.40404366903974986</v>
      </c>
      <c r="G9" s="20">
        <v>0</v>
      </c>
      <c r="H9" s="17" t="s">
        <v>20</v>
      </c>
      <c r="I9" s="1" t="s">
        <v>30</v>
      </c>
    </row>
    <row r="10" spans="1:9">
      <c r="A10" s="9">
        <v>8</v>
      </c>
      <c r="B10" s="9" t="s">
        <v>2</v>
      </c>
      <c r="C10" s="10"/>
      <c r="D10" s="11"/>
      <c r="E10" s="9"/>
      <c r="F10" s="12"/>
      <c r="G10" s="12"/>
      <c r="H10" s="9"/>
    </row>
    <row r="11" spans="1:9">
      <c r="A11" s="9">
        <v>9</v>
      </c>
      <c r="B11" s="9" t="s">
        <v>2</v>
      </c>
      <c r="C11" s="10"/>
      <c r="D11" s="10"/>
      <c r="E11" s="9"/>
      <c r="F11" s="12"/>
      <c r="G11" s="12"/>
      <c r="H11" s="9"/>
    </row>
    <row r="12" spans="1:9">
      <c r="A12" s="9">
        <v>10</v>
      </c>
      <c r="B12" s="9" t="s">
        <v>2</v>
      </c>
      <c r="C12" s="10"/>
      <c r="D12" s="10"/>
      <c r="E12" s="9"/>
      <c r="F12" s="13"/>
      <c r="G12" s="13"/>
      <c r="H12" s="9"/>
    </row>
    <row r="13" spans="1:9">
      <c r="A13" s="9">
        <v>11</v>
      </c>
      <c r="B13" s="9" t="s">
        <v>2</v>
      </c>
      <c r="C13" s="10"/>
      <c r="D13" s="10"/>
      <c r="E13" s="9"/>
      <c r="F13" s="14"/>
      <c r="G13" s="14"/>
      <c r="H13" s="9"/>
    </row>
    <row r="14" spans="1:9">
      <c r="A14" s="9">
        <v>12</v>
      </c>
      <c r="B14" s="9" t="s">
        <v>1</v>
      </c>
      <c r="C14" s="10" t="s">
        <v>7</v>
      </c>
      <c r="D14" s="10"/>
      <c r="E14" s="9" t="s">
        <v>13</v>
      </c>
      <c r="F14" s="14">
        <v>2.7498033049060902</v>
      </c>
      <c r="G14" s="14">
        <v>-3.7560881206875991</v>
      </c>
      <c r="H14" s="9" t="s">
        <v>24</v>
      </c>
    </row>
    <row r="15" spans="1:9">
      <c r="A15" s="9">
        <v>13</v>
      </c>
      <c r="B15" s="9" t="s">
        <v>3</v>
      </c>
      <c r="C15" s="10" t="s">
        <v>8</v>
      </c>
      <c r="D15" s="10">
        <v>57260</v>
      </c>
      <c r="E15" s="9" t="s">
        <v>14</v>
      </c>
      <c r="F15" s="15">
        <v>68.3</v>
      </c>
      <c r="G15" s="15">
        <v>0.4168</v>
      </c>
      <c r="H15" s="9" t="s">
        <v>22</v>
      </c>
      <c r="I15" s="1" t="s">
        <v>31</v>
      </c>
    </row>
    <row r="16" spans="1:9">
      <c r="A16" s="9">
        <v>14</v>
      </c>
      <c r="B16" s="9" t="s">
        <v>3</v>
      </c>
      <c r="C16" s="10" t="s">
        <v>8</v>
      </c>
      <c r="D16" s="2">
        <v>57263</v>
      </c>
      <c r="E16" s="9" t="s">
        <v>14</v>
      </c>
      <c r="F16" s="21">
        <v>68</v>
      </c>
      <c r="G16" s="21">
        <v>0.31</v>
      </c>
      <c r="H16" s="9" t="s">
        <v>23</v>
      </c>
      <c r="I16" s="1" t="s">
        <v>31</v>
      </c>
    </row>
    <row r="17" spans="1:9">
      <c r="A17" s="9">
        <v>15</v>
      </c>
      <c r="B17" s="9" t="s">
        <v>3</v>
      </c>
      <c r="C17" s="10" t="s">
        <v>9</v>
      </c>
      <c r="D17" s="10" t="s">
        <v>11</v>
      </c>
      <c r="E17" s="16" t="s">
        <v>15</v>
      </c>
      <c r="F17" s="14">
        <v>74.970473233347207</v>
      </c>
      <c r="G17" s="14">
        <v>-75.163135921049502</v>
      </c>
      <c r="H17" s="9" t="s">
        <v>21</v>
      </c>
      <c r="I17" s="1" t="s">
        <v>29</v>
      </c>
    </row>
    <row r="18" spans="1:9">
      <c r="A18" s="17">
        <v>16</v>
      </c>
      <c r="B18" s="3" t="s">
        <v>1</v>
      </c>
      <c r="C18" s="4" t="s">
        <v>6</v>
      </c>
      <c r="D18" s="5">
        <v>240851</v>
      </c>
      <c r="E18" s="3" t="s">
        <v>12</v>
      </c>
      <c r="F18" s="6"/>
      <c r="G18" s="6"/>
      <c r="H18" s="3" t="s">
        <v>20</v>
      </c>
      <c r="I18" s="1" t="s">
        <v>29</v>
      </c>
    </row>
    <row r="19" spans="1:9">
      <c r="A19" s="17">
        <v>17</v>
      </c>
      <c r="B19" s="3" t="s">
        <v>1</v>
      </c>
      <c r="C19" s="4" t="s">
        <v>6</v>
      </c>
      <c r="D19" s="5">
        <v>240852</v>
      </c>
      <c r="E19" s="3" t="s">
        <v>12</v>
      </c>
      <c r="F19" s="6"/>
      <c r="G19" s="7"/>
      <c r="H19" s="3" t="s">
        <v>20</v>
      </c>
      <c r="I19" s="1" t="s">
        <v>29</v>
      </c>
    </row>
    <row r="20" spans="1:9">
      <c r="A20" s="17">
        <v>18</v>
      </c>
      <c r="B20" s="3" t="s">
        <v>1</v>
      </c>
      <c r="C20" s="4" t="s">
        <v>6</v>
      </c>
      <c r="D20" s="5">
        <v>240853</v>
      </c>
      <c r="E20" s="3" t="s">
        <v>12</v>
      </c>
      <c r="F20" s="6"/>
      <c r="G20" s="7"/>
      <c r="H20" s="3" t="s">
        <v>20</v>
      </c>
      <c r="I20" s="1" t="s">
        <v>29</v>
      </c>
    </row>
    <row r="21" spans="1:9">
      <c r="A21" s="17">
        <v>19</v>
      </c>
      <c r="B21" s="3" t="s">
        <v>1</v>
      </c>
      <c r="C21" s="4" t="s">
        <v>6</v>
      </c>
      <c r="D21" s="5">
        <v>240854</v>
      </c>
      <c r="E21" s="3" t="s">
        <v>12</v>
      </c>
      <c r="F21" s="6"/>
      <c r="G21" s="7"/>
      <c r="H21" s="3" t="s">
        <v>20</v>
      </c>
      <c r="I21" s="1" t="s">
        <v>29</v>
      </c>
    </row>
    <row r="22" spans="1:9">
      <c r="A22" s="17">
        <v>20</v>
      </c>
      <c r="B22" s="3" t="s">
        <v>1</v>
      </c>
      <c r="C22" s="4" t="s">
        <v>6</v>
      </c>
      <c r="D22" s="5">
        <v>240855</v>
      </c>
      <c r="E22" s="3" t="s">
        <v>12</v>
      </c>
      <c r="F22" s="6"/>
      <c r="G22" s="7"/>
      <c r="H22" s="3" t="s">
        <v>20</v>
      </c>
      <c r="I22" s="1" t="s">
        <v>29</v>
      </c>
    </row>
    <row r="23" spans="1:9">
      <c r="A23" s="17">
        <v>21</v>
      </c>
      <c r="B23" s="3" t="s">
        <v>1</v>
      </c>
      <c r="C23" s="4" t="s">
        <v>6</v>
      </c>
      <c r="D23" s="5">
        <v>240856</v>
      </c>
      <c r="E23" s="3" t="s">
        <v>12</v>
      </c>
      <c r="F23" s="6"/>
      <c r="G23" s="7"/>
      <c r="H23" s="3" t="s">
        <v>20</v>
      </c>
      <c r="I23" s="1" t="s">
        <v>29</v>
      </c>
    </row>
    <row r="24" spans="1:9">
      <c r="A24" s="17">
        <v>22</v>
      </c>
      <c r="B24" s="3" t="s">
        <v>1</v>
      </c>
      <c r="C24" s="4" t="s">
        <v>6</v>
      </c>
      <c r="D24" s="5">
        <v>4</v>
      </c>
      <c r="E24" s="3" t="s">
        <v>12</v>
      </c>
      <c r="F24" s="8"/>
      <c r="G24" s="8"/>
      <c r="H24" s="3" t="s">
        <v>20</v>
      </c>
      <c r="I24" s="1" t="s">
        <v>29</v>
      </c>
    </row>
    <row r="25" spans="1:9">
      <c r="A25" s="17">
        <v>23</v>
      </c>
      <c r="B25" s="3" t="s">
        <v>1</v>
      </c>
      <c r="C25" s="4" t="s">
        <v>6</v>
      </c>
      <c r="D25" s="5">
        <v>5</v>
      </c>
      <c r="E25" s="3" t="s">
        <v>12</v>
      </c>
      <c r="F25" s="7"/>
      <c r="G25" s="7"/>
      <c r="H25" s="3" t="s">
        <v>20</v>
      </c>
      <c r="I25" s="1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허정무</dc:creator>
  <cp:lastModifiedBy>허정무</cp:lastModifiedBy>
  <dcterms:created xsi:type="dcterms:W3CDTF">2025-07-21T03:50:56Z</dcterms:created>
  <dcterms:modified xsi:type="dcterms:W3CDTF">2025-10-02T13:28:32Z</dcterms:modified>
</cp:coreProperties>
</file>